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mo script" sheetId="4" state="visible" r:id="rId4"/>
  </sheets>
  <definedNames>
    <definedName name="_xlnm._FilterDatabase" localSheetId="1" hidden="1">'Test cases'!$A$1:$K$85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Forge tests</author>
  </authors>
  <commentList>
    <comment ref="J1" authorId="0" shapeId="0">
      <text>
        <t>Pick Pass / Fail / Blocked / Not run from the dropdown.</t>
      </text>
    </comment>
  </commentList>
</comments>
</file>

<file path=xl/comments/comment2.xml><?xml version="1.0" encoding="utf-8"?>
<comments xmlns="http://schemas.openxmlformats.org/spreadsheetml/2006/main">
  <authors>
    <author>Forge tests</author>
  </authors>
  <commentList>
    <comment ref="C15" authorId="0" shapeId="0">
      <text>
        <t>Columns here: B = P1 passed, C = P1 total, D = share passed.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zoomScale="10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46" customWidth="1" min="3" max="3"/>
  </cols>
  <sheetData>
    <row r="1">
      <c r="A1" s="1" t="inlineStr">
        <is>
          <t>Forge — test setup</t>
        </is>
      </c>
    </row>
    <row r="3">
      <c r="A3" s="2" t="inlineStr">
        <is>
          <t>How to use this workbook</t>
        </is>
      </c>
      <c r="B3" s="3" t="n"/>
      <c r="C3" s="3" t="n"/>
    </row>
    <row r="4">
      <c r="A4" s="4" t="inlineStr">
        <is>
          <t>1</t>
        </is>
      </c>
      <c r="B4" s="4" t="inlineStr">
        <is>
          <t>Do the steps in "Start the app" and fill in "Test data" (yellow cells).</t>
        </is>
      </c>
    </row>
    <row r="5">
      <c r="A5" s="4" t="inlineStr">
        <is>
          <t>2</t>
        </is>
      </c>
      <c r="B5" s="4" t="inlineStr">
        <is>
          <t>Work through "Test cases" in order — later cases rely on earlier ones (see Preconditions).</t>
        </is>
      </c>
    </row>
    <row r="6">
      <c r="A6" s="4" t="inlineStr">
        <is>
          <t>3</t>
        </is>
      </c>
      <c r="B6" s="4" t="inlineStr">
        <is>
          <t>Set Status for each case: Pass / Fail / Blocked / Not run. On Fail, write what you saw in "Notes / defect".</t>
        </is>
      </c>
    </row>
    <row r="7">
      <c r="A7" s="4" t="inlineStr">
        <is>
          <t>4</t>
        </is>
      </c>
      <c r="B7" s="4" t="inlineStr">
        <is>
          <t>Example of a filled-in failure: Status = Fail, Notes = "Step 3: got HTTP 500 instead of the Pick tools card".</t>
        </is>
      </c>
    </row>
    <row r="8">
      <c r="A8" s="4" t="inlineStr">
        <is>
          <t>5</t>
        </is>
      </c>
      <c r="B8" s="4" t="inlineStr">
        <is>
          <t>P1 = core flow and safety rules (must pass before a demo). P2 = everything else.</t>
        </is>
      </c>
    </row>
    <row r="9">
      <c r="A9" s="4" t="inlineStr">
        <is>
          <t>6</t>
        </is>
      </c>
      <c r="B9" s="4" t="inlineStr">
        <is>
          <t>{GITHUB_REPO}, {SLACK_CHANNEL_ID} etc. in the steps mean: use the value from "Test data" below.</t>
        </is>
      </c>
    </row>
    <row r="10">
      <c r="A10" s="4" t="inlineStr">
        <is>
          <t>7</t>
        </is>
      </c>
      <c r="B10" s="4" t="inlineStr">
        <is>
          <t>"Summary" counts results automatically.</t>
        </is>
      </c>
    </row>
    <row r="12">
      <c r="A12" s="2" t="inlineStr">
        <is>
          <t>Start the app</t>
        </is>
      </c>
      <c r="B12" s="3" t="n"/>
      <c r="C12" s="3" t="n"/>
    </row>
    <row r="13">
      <c r="A13" s="4" t="inlineStr">
        <is>
          <t>1. Docker</t>
        </is>
      </c>
      <c r="B13" s="4" t="inlineStr">
        <is>
          <t>Start Docker Desktop and wait until it says it is running.</t>
        </is>
      </c>
    </row>
    <row r="14">
      <c r="A14" s="4" t="inlineStr">
        <is>
          <t>2. Clean start (optional, deletes ALL data)</t>
        </is>
      </c>
      <c r="B14" s="4" t="inlineStr">
        <is>
          <t>In the project folder: docker compose down -v   then   docker compose up -d --build</t>
        </is>
      </c>
    </row>
    <row r="15">
      <c r="A15" s="4" t="inlineStr">
        <is>
          <t>3. Start (keep data)</t>
        </is>
      </c>
      <c r="B15" s="4" t="inlineStr">
        <is>
          <t>docker compose up -d --build</t>
        </is>
      </c>
    </row>
    <row r="16">
      <c r="A16" s="4" t="inlineStr">
        <is>
          <t>4. Check</t>
        </is>
      </c>
      <c r="B16" s="4" t="inlineStr">
        <is>
          <t>http://localhost:8000/health shows {"ok":true}; http://localhost:5173 shows the sign-in page.</t>
        </is>
      </c>
    </row>
    <row r="17">
      <c r="A17" s="4" t="inlineStr">
        <is>
          <t>5. If the build says docker-credential-desktop not found</t>
        </is>
      </c>
      <c r="B17" s="4" t="inlineStr">
        <is>
          <t>Open a NEW terminal and run step 3 again.</t>
        </is>
      </c>
    </row>
    <row r="18">
      <c r="A18" s="4" t="inlineStr">
        <is>
          <t>pgAdmin</t>
        </is>
      </c>
      <c r="B18" s="4" t="inlineStr">
        <is>
          <t>http://localhost:5050 — login admin@forge.dev / admin; server "forge" password: forge</t>
        </is>
      </c>
    </row>
    <row r="20">
      <c r="A20" s="2" t="inlineStr">
        <is>
          <t>Accounts (created during ACC tests; password Passw0rd! for all)</t>
        </is>
      </c>
      <c r="B20" s="3" t="n"/>
      <c r="C20" s="3" t="n"/>
    </row>
    <row r="21">
      <c r="A21" s="5" t="inlineStr">
        <is>
          <t>Role</t>
        </is>
      </c>
      <c r="B21" s="5" t="inlineStr">
        <is>
          <t>Email</t>
        </is>
      </c>
      <c r="C21" s="5" t="inlineStr">
        <is>
          <t>Notes</t>
        </is>
      </c>
    </row>
    <row r="22">
      <c r="A22" s="4" t="inlineStr">
        <is>
          <t>Platform admin</t>
        </is>
      </c>
      <c r="B22" s="4" t="inlineStr">
        <is>
          <t>admin@forge.dev</t>
        </is>
      </c>
      <c r="C22" s="4" t="inlineStr">
        <is>
          <t>Exists from the start (.env PLATFORM_ADMIN_PASSWORD, default Passw0rd!)</t>
        </is>
      </c>
    </row>
    <row r="23">
      <c r="A23" s="4" t="inlineStr">
        <is>
          <t>Company A admin</t>
        </is>
      </c>
      <c r="B23" s="4" t="inlineStr">
        <is>
          <t>shivani@northwind.example</t>
        </is>
      </c>
      <c r="C23" s="4" t="inlineStr">
        <is>
          <t>Company "Northwind Labs" (schema t_northwind_labs)</t>
        </is>
      </c>
    </row>
    <row r="24">
      <c r="A24" s="4" t="inlineStr">
        <is>
          <t>Company A user</t>
        </is>
      </c>
      <c r="B24" s="4" t="inlineStr">
        <is>
          <t>priya@northwind.example</t>
        </is>
      </c>
      <c r="C24" s="4" t="inlineStr">
        <is>
          <t>Joins Northwind Labs</t>
        </is>
      </c>
    </row>
    <row r="25">
      <c r="A25" s="4" t="inlineStr">
        <is>
          <t>Company B admin</t>
        </is>
      </c>
      <c r="B25" s="4" t="inlineStr">
        <is>
          <t>jai@maven.example</t>
        </is>
      </c>
      <c r="C25" s="4" t="inlineStr">
        <is>
          <t>Company "Maven" (schema t_maven)</t>
        </is>
      </c>
    </row>
    <row r="26">
      <c r="A26" s="4" t="inlineStr">
        <is>
          <t>Company B user</t>
        </is>
      </c>
      <c r="B26" s="4" t="inlineStr">
        <is>
          <t>riya@maven.example</t>
        </is>
      </c>
      <c r="C26" s="4" t="inlineStr">
        <is>
          <t>Joins Maven</t>
        </is>
      </c>
    </row>
    <row r="28">
      <c r="A28" s="2" t="inlineStr">
        <is>
          <t>Test data (fill in the yellow cells; never commit this file with real tokens in it)</t>
        </is>
      </c>
      <c r="B28" s="3" t="n"/>
      <c r="C28" s="3" t="n"/>
    </row>
    <row r="29">
      <c r="A29" s="5" t="inlineStr">
        <is>
          <t>Name</t>
        </is>
      </c>
      <c r="B29" s="5" t="inlineStr">
        <is>
          <t>Value</t>
        </is>
      </c>
      <c r="C29" s="5" t="inlineStr">
        <is>
          <t>What it is</t>
        </is>
      </c>
    </row>
    <row r="30">
      <c r="A30" s="4" t="inlineStr">
        <is>
          <t>GITHUB_PAT</t>
        </is>
      </c>
      <c r="B30" s="6" t="inlineStr"/>
      <c r="C30" s="4" t="inlineStr">
        <is>
          <t>GitHub personal access token with Issues + Contents access</t>
        </is>
      </c>
    </row>
    <row r="31">
      <c r="A31" s="4" t="inlineStr">
        <is>
          <t>GITHUB_REPO</t>
        </is>
      </c>
      <c r="B31" s="6" t="inlineStr"/>
      <c r="C31" s="4" t="inlineStr">
        <is>
          <t>owner/repo with at least 2 open issues, one labelled bug</t>
        </is>
      </c>
    </row>
    <row r="32">
      <c r="A32" s="4" t="inlineStr">
        <is>
          <t>SLACK_TOKEN</t>
        </is>
      </c>
      <c r="B32" s="6" t="inlineStr"/>
      <c r="C32" s="4" t="inlineStr">
        <is>
          <t>Slack USER token xoxp-… (bot tokens xoxb- are rejected)</t>
        </is>
      </c>
    </row>
    <row r="33">
      <c r="A33" s="4" t="inlineStr">
        <is>
          <t>SLACK_CHANNEL_ID</t>
        </is>
      </c>
      <c r="B33" s="6" t="inlineStr"/>
      <c r="C33" s="4" t="inlineStr">
        <is>
          <t>Channel ID C0… that the Slack app is a member of</t>
        </is>
      </c>
    </row>
    <row r="34">
      <c r="A34" s="4" t="inlineStr">
        <is>
          <t>TAVILY_KEY</t>
        </is>
      </c>
      <c r="B34" s="6" t="inlineStr"/>
      <c r="C34" s="4" t="inlineStr">
        <is>
          <t>tvly-… from app.tavily.com (optional, REG-17)</t>
        </is>
      </c>
    </row>
    <row r="35">
      <c r="A35" s="4" t="inlineStr">
        <is>
          <t>WRONG_TOKEN</t>
        </is>
      </c>
      <c r="B35" s="4" t="inlineStr">
        <is>
          <t>ghp_invalid0000000000000000000000000000</t>
        </is>
      </c>
      <c r="C35" s="4" t="inlineStr">
        <is>
          <t>Any token that will be refused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4" customWidth="1" min="4" max="4"/>
    <col width="28" customWidth="1" min="5" max="5"/>
    <col width="58" customWidth="1" min="6" max="6"/>
    <col width="52" customWidth="1" min="7" max="7"/>
    <col width="46" customWidth="1" min="8" max="8"/>
    <col width="9" customWidth="1" min="9" max="9"/>
    <col width="11" customWidth="1" min="10" max="10"/>
    <col width="30" customWidth="1" min="11" max="11"/>
  </cols>
  <sheetData>
    <row r="1" ht="30" customHeight="1">
      <c r="A1" s="5" t="inlineStr">
        <is>
          <t>ID</t>
        </is>
      </c>
      <c r="B1" s="5" t="inlineStr">
        <is>
          <t>Area</t>
        </is>
      </c>
      <c r="C1" s="5" t="inlineStr">
        <is>
          <t>Title</t>
        </is>
      </c>
      <c r="D1" s="5" t="inlineStr">
        <is>
          <t>Role / account</t>
        </is>
      </c>
      <c r="E1" s="5" t="inlineStr">
        <is>
          <t>Preconditions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DB check (optional SQL)</t>
        </is>
      </c>
      <c r="I1" s="5" t="inlineStr">
        <is>
          <t>Priority</t>
        </is>
      </c>
      <c r="J1" s="5" t="inlineStr">
        <is>
          <t>Status</t>
        </is>
      </c>
      <c r="K1" s="5" t="inlineStr">
        <is>
          <t>Notes / defect</t>
        </is>
      </c>
    </row>
    <row r="2">
      <c r="A2" s="7" t="inlineStr">
        <is>
          <t>ACC-01</t>
        </is>
      </c>
      <c r="B2" s="4" t="inlineStr">
        <is>
          <t>Accounts &amp; sign-in</t>
        </is>
      </c>
      <c r="C2" s="4" t="inlineStr">
        <is>
          <t>Platform admin signs in</t>
        </is>
      </c>
      <c r="D2" s="4" t="inlineStr">
        <is>
          <t>Platform admin (admin@forge.dev)</t>
        </is>
      </c>
      <c r="E2" s="4" t="inlineStr">
        <is>
          <t>Fresh database (Setup step 2).</t>
        </is>
      </c>
      <c r="F2" s="4" t="inlineStr">
        <is>
          <t>1. Open http://localhost:5173.
2. On the "Sign in" tab enter Email admin@forge.dev and Password Passw0rd! (or PLATFORM_ADMIN_PASSWORD from .env).
3. Click "Sign in".</t>
        </is>
      </c>
      <c r="G2" s="4" t="inlineStr">
        <is>
          <t>Lands on MCP Registry. Sidebar shows only the "Shared" section: MCP Registry, Marketplace, Admin Review. Footer reads "Platform admin". No Build, My Agents or Connections.</t>
        </is>
      </c>
      <c r="H2" s="8" t="inlineStr">
        <is>
          <t>SELECT email, role FROM platform.users;  -- admin@forge.dev | platform_admin</t>
        </is>
      </c>
      <c r="I2" s="4" t="inlineStr">
        <is>
          <t>P1</t>
        </is>
      </c>
      <c r="J2" s="6" t="inlineStr">
        <is>
          <t>Not run</t>
        </is>
      </c>
      <c r="K2" s="6" t="inlineStr"/>
    </row>
    <row r="3">
      <c r="A3" s="7" t="inlineStr">
        <is>
          <t>ACC-02</t>
        </is>
      </c>
      <c r="B3" s="4" t="inlineStr">
        <is>
          <t>Accounts &amp; sign-in</t>
        </is>
      </c>
      <c r="C3" s="4" t="inlineStr">
        <is>
          <t>Create a new company makes you its admin</t>
        </is>
      </c>
      <c r="D3" s="4" t="inlineStr">
        <is>
          <t>Company A admin (shivani@northwind.example)</t>
        </is>
      </c>
      <c r="E3" s="4" t="inlineStr">
        <is>
          <t>ACC-01 passed; signed out.</t>
        </is>
      </c>
      <c r="F3" s="4" t="inlineStr">
        <is>
          <t>1. Click the "Register" tab.
2. Click "Create a new company".
3. Company name (new): Northwind Labs. Your name: Shivani. Email: shivani@northwind.example. Password: Passw0rd!
4. Click "Create company".</t>
        </is>
      </c>
      <c r="G3" s="4" t="inlineStr">
        <is>
          <t>Signed in. Footer reads "Northwind Labs · admin". Sidebar "Workspace" section shows Build, My Agents, MCP Registry, Connections.</t>
        </is>
      </c>
      <c r="H3" s="8" t="inlineStr">
        <is>
          <t>SELECT t.name, u.email, u.role FROM platform.users u JOIN platform.tenants t ON t.id=u.tenant_id;
-- also: a new schema t_northwind_labs exists (pgAdmin → Schemas)</t>
        </is>
      </c>
      <c r="I3" s="4" t="inlineStr">
        <is>
          <t>P1</t>
        </is>
      </c>
      <c r="J3" s="6" t="inlineStr">
        <is>
          <t>Not run</t>
        </is>
      </c>
      <c r="K3" s="6" t="inlineStr"/>
    </row>
    <row r="4">
      <c r="A4" s="7" t="inlineStr">
        <is>
          <t>ACC-03</t>
        </is>
      </c>
      <c r="B4" s="4" t="inlineStr">
        <is>
          <t>Accounts &amp; sign-in</t>
        </is>
      </c>
      <c r="C4" s="4" t="inlineStr">
        <is>
          <t>Join an existing company makes you a user</t>
        </is>
      </c>
      <c r="D4" s="4" t="inlineStr">
        <is>
          <t>Company A user (priya@northwind.example)</t>
        </is>
      </c>
      <c r="E4" s="4" t="inlineStr">
        <is>
          <t>ACC-02 passed; signed out.</t>
        </is>
      </c>
      <c r="F4" s="4" t="inlineStr">
        <is>
          <t>1. Click "Register" → "Join an existing one".
2. Company name (exactly as your admin created it): Northwind Labs. Your name: Priya. Email: priya@northwind.example. Password: Passw0rd!
3. Click "Join company".</t>
        </is>
      </c>
      <c r="G4" s="4" t="inlineStr">
        <is>
          <t>Signed in. Footer reads "Northwind Labs · user".</t>
        </is>
      </c>
      <c r="H4" s="8" t="inlineStr">
        <is>
          <t>SELECT email, role FROM platform.users WHERE email='priya@northwind.example';  -- role = user, same tenant as Shivani</t>
        </is>
      </c>
      <c r="I4" s="4" t="inlineStr">
        <is>
          <t>P1</t>
        </is>
      </c>
      <c r="J4" s="6" t="inlineStr">
        <is>
          <t>Not run</t>
        </is>
      </c>
      <c r="K4" s="6" t="inlineStr"/>
    </row>
    <row r="5">
      <c r="A5" s="7" t="inlineStr">
        <is>
          <t>ACC-04</t>
        </is>
      </c>
      <c r="B5" s="4" t="inlineStr">
        <is>
          <t>Accounts &amp; sign-in</t>
        </is>
      </c>
      <c r="C5" s="4" t="inlineStr">
        <is>
          <t>Second company and its user</t>
        </is>
      </c>
      <c r="D5" s="4" t="inlineStr">
        <is>
          <t>Company B admin (jai@maven.example) / Company B user (riya@maven.example)</t>
        </is>
      </c>
      <c r="E5" s="4" t="inlineStr">
        <is>
          <t>ACC-03 passed.</t>
        </is>
      </c>
      <c r="F5" s="4" t="inlineStr">
        <is>
          <t>1. Register → Create a new company: Maven, Jai, jai@maven.example, Passw0rd! → "Create company". Sign out.
2. Register → Join an existing one: Maven, Riya, riya@maven.example, Passw0rd! → "Join company".</t>
        </is>
      </c>
      <c r="G5" s="4" t="inlineStr">
        <is>
          <t>Jai's footer: "Maven · admin". Riya's footer: "Maven · user". A schema t_maven exists.</t>
        </is>
      </c>
      <c r="H5" s="8" t="inlineStr"/>
      <c r="I5" s="4" t="inlineStr">
        <is>
          <t>P1</t>
        </is>
      </c>
      <c r="J5" s="6" t="inlineStr">
        <is>
          <t>Not run</t>
        </is>
      </c>
      <c r="K5" s="6" t="inlineStr"/>
    </row>
    <row r="6">
      <c r="A6" s="7" t="inlineStr">
        <is>
          <t>ACC-05</t>
        </is>
      </c>
      <c r="B6" s="4" t="inlineStr">
        <is>
          <t>Accounts &amp; sign-in</t>
        </is>
      </c>
      <c r="C6" s="4" t="inlineStr">
        <is>
          <t>Joining a company that does not exist is refused</t>
        </is>
      </c>
      <c r="D6" s="4" t="inlineStr">
        <is>
          <t>Any</t>
        </is>
      </c>
      <c r="E6" s="4" t="inlineStr">
        <is>
          <t>Signed out.</t>
        </is>
      </c>
      <c r="F6" s="4" t="inlineStr">
        <is>
          <t>1. Register → "Join an existing one".
2. Company name: Nowhere Corp; fill the other fields with a new email.
3. Click "Join company".</t>
        </is>
      </c>
      <c r="G6" s="4" t="inlineStr">
        <is>
          <t>Message: "No company with that name. Check the spelling with your admin, or create it." No account is created.</t>
        </is>
      </c>
      <c r="H6" s="8" t="inlineStr">
        <is>
          <t>SELECT count(*) FROM platform.users WHERE email='&lt;the email you used&gt;';  -- 0</t>
        </is>
      </c>
      <c r="I6" s="4" t="inlineStr">
        <is>
          <t>P1</t>
        </is>
      </c>
      <c r="J6" s="6" t="inlineStr">
        <is>
          <t>Not run</t>
        </is>
      </c>
      <c r="K6" s="6" t="inlineStr"/>
    </row>
    <row r="7">
      <c r="A7" s="7" t="inlineStr">
        <is>
          <t>ACC-06</t>
        </is>
      </c>
      <c r="B7" s="4" t="inlineStr">
        <is>
          <t>Accounts &amp; sign-in</t>
        </is>
      </c>
      <c r="C7" s="4" t="inlineStr">
        <is>
          <t>Creating a company that already exists is refused</t>
        </is>
      </c>
      <c r="D7" s="4" t="inlineStr">
        <is>
          <t>Any</t>
        </is>
      </c>
      <c r="E7" s="4" t="inlineStr">
        <is>
          <t>ACC-02 passed; signed out.</t>
        </is>
      </c>
      <c r="F7" s="4" t="inlineStr">
        <is>
          <t>1. Register → "Create a new company".
2. Company name: Northwind Labs; new email.
3. Click "Create company".</t>
        </is>
      </c>
      <c r="G7" s="4" t="inlineStr">
        <is>
          <t>Message: "That company already exists. Choose Join to become one of its users."</t>
        </is>
      </c>
      <c r="H7" s="8" t="inlineStr"/>
      <c r="I7" s="4" t="inlineStr">
        <is>
          <t>P1</t>
        </is>
      </c>
      <c r="J7" s="6" t="inlineStr">
        <is>
          <t>Not run</t>
        </is>
      </c>
      <c r="K7" s="6" t="inlineStr"/>
    </row>
    <row r="8">
      <c r="A8" s="7" t="inlineStr">
        <is>
          <t>ACC-07</t>
        </is>
      </c>
      <c r="B8" s="4" t="inlineStr">
        <is>
          <t>Accounts &amp; sign-in</t>
        </is>
      </c>
      <c r="C8" s="4" t="inlineStr">
        <is>
          <t>An email can only register once</t>
        </is>
      </c>
      <c r="D8" s="4" t="inlineStr">
        <is>
          <t>Any</t>
        </is>
      </c>
      <c r="E8" s="4" t="inlineStr">
        <is>
          <t>ACC-03 passed; signed out.</t>
        </is>
      </c>
      <c r="F8" s="4" t="inlineStr">
        <is>
          <t>1. Register → Join an existing one → Northwind Labs, email priya@northwind.example.
2. Click "Join company".</t>
        </is>
      </c>
      <c r="G8" s="4" t="inlineStr">
        <is>
          <t>Message: "That email already has an account. Sign in instead."</t>
        </is>
      </c>
      <c r="H8" s="8" t="inlineStr"/>
      <c r="I8" s="4" t="inlineStr">
        <is>
          <t>P1</t>
        </is>
      </c>
      <c r="J8" s="6" t="inlineStr">
        <is>
          <t>Not run</t>
        </is>
      </c>
      <c r="K8" s="6" t="inlineStr"/>
    </row>
    <row r="9">
      <c r="A9" s="7" t="inlineStr">
        <is>
          <t>ACC-08</t>
        </is>
      </c>
      <c r="B9" s="4" t="inlineStr">
        <is>
          <t>Accounts &amp; sign-in</t>
        </is>
      </c>
      <c r="C9" s="4" t="inlineStr">
        <is>
          <t>Wrong password and unknown email give the same message</t>
        </is>
      </c>
      <c r="D9" s="4" t="inlineStr">
        <is>
          <t>Any</t>
        </is>
      </c>
      <c r="E9" s="4" t="inlineStr">
        <is>
          <t>Signed out.</t>
        </is>
      </c>
      <c r="F9" s="4" t="inlineStr">
        <is>
          <t>1. Sign in as priya@northwind.example with password WrongPass1.
2. Sign in as nobody@nowhere.example with any password.</t>
        </is>
      </c>
      <c r="G9" s="4" t="inlineStr">
        <is>
          <t>Both show "That email and password do not match." (it never reveals which addresses exist).</t>
        </is>
      </c>
      <c r="H9" s="8" t="inlineStr"/>
      <c r="I9" s="4" t="inlineStr">
        <is>
          <t>P1</t>
        </is>
      </c>
      <c r="J9" s="6" t="inlineStr">
        <is>
          <t>Not run</t>
        </is>
      </c>
      <c r="K9" s="6" t="inlineStr"/>
    </row>
    <row r="10">
      <c r="A10" s="7" t="inlineStr">
        <is>
          <t>ACC-09</t>
        </is>
      </c>
      <c r="B10" s="4" t="inlineStr">
        <is>
          <t>Accounts &amp; sign-in</t>
        </is>
      </c>
      <c r="C10" s="4" t="inlineStr">
        <is>
          <t>Password shorter than 8 characters is blocked</t>
        </is>
      </c>
      <c r="D10" s="4" t="inlineStr">
        <is>
          <t>Any</t>
        </is>
      </c>
      <c r="E10" s="4" t="inlineStr">
        <is>
          <t>Signed out.</t>
        </is>
      </c>
      <c r="F10" s="4" t="inlineStr">
        <is>
          <t>1. Register → Create a new company with password 1234567.
2. Click "Create company".</t>
        </is>
      </c>
      <c r="G10" s="4" t="inlineStr">
        <is>
          <t>The browser refuses to submit (minimum 8 characters). No account is created.</t>
        </is>
      </c>
      <c r="H10" s="8" t="inlineStr"/>
      <c r="I10" s="4" t="inlineStr">
        <is>
          <t>P2</t>
        </is>
      </c>
      <c r="J10" s="6" t="inlineStr">
        <is>
          <t>Not run</t>
        </is>
      </c>
      <c r="K10" s="6" t="inlineStr"/>
    </row>
    <row r="11">
      <c r="A11" s="7" t="inlineStr">
        <is>
          <t>ACC-10</t>
        </is>
      </c>
      <c r="B11" s="4" t="inlineStr">
        <is>
          <t>Accounts &amp; sign-in</t>
        </is>
      </c>
      <c r="C11" s="4" t="inlineStr">
        <is>
          <t>Company name made only of symbols is refused</t>
        </is>
      </c>
      <c r="D11" s="4" t="inlineStr">
        <is>
          <t>Any</t>
        </is>
      </c>
      <c r="E11" s="4" t="inlineStr">
        <is>
          <t>Signed out.</t>
        </is>
      </c>
      <c r="F11" s="4" t="inlineStr">
        <is>
          <t>1. Register → Create a new company with Company name !!!
2. Click "Create company".</t>
        </is>
      </c>
      <c r="G11" s="4" t="inlineStr">
        <is>
          <t>Message: "Use letters and numbers for the company name."</t>
        </is>
      </c>
      <c r="H11" s="8" t="inlineStr"/>
      <c r="I11" s="4" t="inlineStr">
        <is>
          <t>P2</t>
        </is>
      </c>
      <c r="J11" s="6" t="inlineStr">
        <is>
          <t>Not run</t>
        </is>
      </c>
      <c r="K11" s="6" t="inlineStr"/>
    </row>
    <row r="12">
      <c r="A12" s="7" t="inlineStr">
        <is>
          <t>ACC-11</t>
        </is>
      </c>
      <c r="B12" s="4" t="inlineStr">
        <is>
          <t>Accounts &amp; sign-in</t>
        </is>
      </c>
      <c r="C12" s="4" t="inlineStr">
        <is>
          <t>Sign out</t>
        </is>
      </c>
      <c r="D12" s="4" t="inlineStr">
        <is>
          <t>Company A user (priya@northwind.example)</t>
        </is>
      </c>
      <c r="E12" s="4" t="inlineStr">
        <is>
          <t>Signed in.</t>
        </is>
      </c>
      <c r="F12" s="4" t="inlineStr">
        <is>
          <t>1. Click "Sign out" at the bottom of the sidebar.
2. Type http://localhost:5173/agents in the address bar.</t>
        </is>
      </c>
      <c r="G12" s="4" t="inlineStr">
        <is>
          <t>Returns to the sign-in page; opening /agents while signed out sends you back to sign-in.</t>
        </is>
      </c>
      <c r="H12" s="8" t="inlineStr"/>
      <c r="I12" s="4" t="inlineStr">
        <is>
          <t>P2</t>
        </is>
      </c>
      <c r="J12" s="6" t="inlineStr">
        <is>
          <t>Not run</t>
        </is>
      </c>
      <c r="K12" s="6" t="inlineStr"/>
    </row>
    <row r="13">
      <c r="A13" s="7" t="inlineStr">
        <is>
          <t>ACC-12</t>
        </is>
      </c>
      <c r="B13" s="4" t="inlineStr">
        <is>
          <t>Accounts &amp; sign-in</t>
        </is>
      </c>
      <c r="C13" s="4" t="inlineStr">
        <is>
          <t>Old session after a database reset goes back to sign-in</t>
        </is>
      </c>
      <c r="D13" s="4" t="inlineStr">
        <is>
          <t>Company A user (priya@northwind.example)</t>
        </is>
      </c>
      <c r="E13" s="4" t="inlineStr">
        <is>
          <t>Signed in. You are willing to wipe all data.</t>
        </is>
      </c>
      <c r="F13" s="4" t="inlineStr">
        <is>
          <t>1. In a terminal: docker compose down -v, then docker compose up -d.
2. Reload the browser tab.</t>
        </is>
      </c>
      <c r="G13" s="4" t="inlineStr">
        <is>
          <t>You are sent to the sign-in page. No error page or HTTP 500.</t>
        </is>
      </c>
      <c r="H13" s="8" t="inlineStr"/>
      <c r="I13" s="4" t="inlineStr">
        <is>
          <t>P2</t>
        </is>
      </c>
      <c r="J13" s="6" t="inlineStr">
        <is>
          <t>Not run</t>
        </is>
      </c>
      <c r="K13" s="6" t="inlineStr"/>
    </row>
    <row r="14">
      <c r="A14" s="7" t="inlineStr">
        <is>
          <t>REG-01</t>
        </is>
      </c>
      <c r="B14" s="4" t="inlineStr">
        <is>
          <t>MCP Registry</t>
        </is>
      </c>
      <c r="C14" s="4" t="inlineStr">
        <is>
          <t>Register filesystem with no token</t>
        </is>
      </c>
      <c r="D14" s="4" t="inlineStr">
        <is>
          <t>Company A admin (shivani@northwind.example)</t>
        </is>
      </c>
      <c r="E14" s="4" t="inlineStr">
        <is>
          <t>Signed in as Shivani.</t>
        </is>
      </c>
      <c r="F14" s="4" t="inlineStr">
        <is>
          <t>1. Click "MCP Registry" → "+ Register a server".
2. In "Register an MCP server" click the chip "filesystem" (Name, Transport stdio and Endpoint fill in).
3. Click "Connect".
4. Check the tool list "Tools agents may use (N found)": tools grouped read / write / destructive, read tools ticked.
5. Click "Save server (N tools)".</t>
        </is>
      </c>
      <c r="G14" s="4" t="inlineStr">
        <is>
          <t>A "filesystem" card appears under "Private to Northwind Labs" with "ok" and "just me" badges, a "X of N tools on" chip, and "registered by you". Only the read tools are on.</t>
        </is>
      </c>
      <c r="H14" s="8" t="inlineStr">
        <is>
          <t>SELECT s.name, s.visibility, s.health, count(t.id) FILTER (WHERE t.enabled) AS on_, count(t.id) AS total
FROM t_northwind_labs.mcp_servers s JOIN t_northwind_labs.mcp_tools t ON t.server_id=s.id GROUP BY 1,2,3;</t>
        </is>
      </c>
      <c r="I14" s="4" t="inlineStr">
        <is>
          <t>P1</t>
        </is>
      </c>
      <c r="J14" s="6" t="inlineStr">
        <is>
          <t>Not run</t>
        </is>
      </c>
      <c r="K14" s="6" t="inlineStr"/>
    </row>
    <row r="15">
      <c r="A15" s="7" t="inlineStr">
        <is>
          <t>REG-02</t>
        </is>
      </c>
      <c r="B15" s="4" t="inlineStr">
        <is>
          <t>MCP Registry</t>
        </is>
      </c>
      <c r="C15" s="4" t="inlineStr">
        <is>
          <t>"Connect" lists tools but saves nothing</t>
        </is>
      </c>
      <c r="D15" s="4" t="inlineStr">
        <is>
          <t>Company A admin (shivani@northwind.example)</t>
        </is>
      </c>
      <c r="E15" s="4" t="inlineStr">
        <is>
          <t>Signed in as Shivani; no "git" server yet.</t>
        </is>
      </c>
      <c r="F15" s="4" t="inlineStr">
        <is>
          <t>1. Register a server → chip "git" → "Connect".
2. When the tool list appears, click "Cancel".</t>
        </is>
      </c>
      <c r="G15" s="4" t="inlineStr">
        <is>
          <t>No "git" card appears. Nothing is stored until "Save server" is clicked.</t>
        </is>
      </c>
      <c r="H15" s="8" t="inlineStr">
        <is>
          <t>SELECT count(*) FROM t_northwind_labs.mcp_servers WHERE name='git';  -- 0</t>
        </is>
      </c>
      <c r="I15" s="4" t="inlineStr">
        <is>
          <t>P1</t>
        </is>
      </c>
      <c r="J15" s="6" t="inlineStr">
        <is>
          <t>Not run</t>
        </is>
      </c>
      <c r="K15" s="6" t="inlineStr"/>
    </row>
    <row r="16">
      <c r="A16" s="7" t="inlineStr">
        <is>
          <t>REG-03</t>
        </is>
      </c>
      <c r="B16" s="4" t="inlineStr">
        <is>
          <t>MCP Registry</t>
        </is>
      </c>
      <c r="C16" s="4" t="inlineStr">
        <is>
          <t>Register GitHub with a valid token</t>
        </is>
      </c>
      <c r="D16" s="4" t="inlineStr">
        <is>
          <t>Company A admin (shivani@northwind.example)</t>
        </is>
      </c>
      <c r="E16" s="4" t="inlineStr">
        <is>
          <t>Signed in as Shivani. GITHUB_PAT ready.</t>
        </is>
      </c>
      <c r="F16" s="4" t="inlineStr">
        <is>
          <t>1. Register a server → chip "github".
2. Paste GITHUB_PAT into "Credential".
3. Click "Connect" (about 40+ tools appear).
4. Tick "issue_write" as well as the pre-ticked read tools.
5. Click "Save server".</t>
        </is>
      </c>
      <c r="G16" s="4" t="inlineStr">
        <is>
          <t>A "github" card with a "connected" badge (the token became Shivani's own encrypted connection). Connections page lists github as active.</t>
        </is>
      </c>
      <c r="H16" s="8" t="inlineStr">
        <is>
          <t>SELECT server_name, status, length(encrypted_secret) AS bytes FROM t_northwind_labs.connections;</t>
        </is>
      </c>
      <c r="I16" s="4" t="inlineStr">
        <is>
          <t>P1</t>
        </is>
      </c>
      <c r="J16" s="6" t="inlineStr">
        <is>
          <t>Not run</t>
        </is>
      </c>
      <c r="K16" s="6" t="inlineStr"/>
    </row>
    <row r="17">
      <c r="A17" s="7" t="inlineStr">
        <is>
          <t>REG-04</t>
        </is>
      </c>
      <c r="B17" s="4" t="inlineStr">
        <is>
          <t>MCP Registry</t>
        </is>
      </c>
      <c r="C17" s="4" t="inlineStr">
        <is>
          <t>GitHub with no token is refused</t>
        </is>
      </c>
      <c r="D17" s="4" t="inlineStr">
        <is>
          <t>Company A user (priya@northwind.example)</t>
        </is>
      </c>
      <c r="E17" s="4" t="inlineStr">
        <is>
          <t>Signed in as Priya.</t>
        </is>
      </c>
      <c r="F17" s="4" t="inlineStr">
        <is>
          <t>1. Register a server → chip "github".
2. Leave "Credential" empty.
3. Click "Connect".</t>
        </is>
      </c>
      <c r="G17" s="4" t="inlineStr">
        <is>
          <t>Message: "Nothing was saved. github answered but will not list its tools without a credential. Paste one and try again."</t>
        </is>
      </c>
      <c r="H17" s="8" t="inlineStr"/>
      <c r="I17" s="4" t="inlineStr">
        <is>
          <t>P1</t>
        </is>
      </c>
      <c r="J17" s="6" t="inlineStr">
        <is>
          <t>Not run</t>
        </is>
      </c>
      <c r="K17" s="6" t="inlineStr"/>
    </row>
    <row r="18">
      <c r="A18" s="7" t="inlineStr">
        <is>
          <t>REG-05</t>
        </is>
      </c>
      <c r="B18" s="4" t="inlineStr">
        <is>
          <t>MCP Registry</t>
        </is>
      </c>
      <c r="C18" s="4" t="inlineStr">
        <is>
          <t>GitHub with a wrong token is refused</t>
        </is>
      </c>
      <c r="D18" s="4" t="inlineStr">
        <is>
          <t>Company A user (priya@northwind.example)</t>
        </is>
      </c>
      <c r="E18" s="4" t="inlineStr">
        <is>
          <t>Signed in as Priya.</t>
        </is>
      </c>
      <c r="F18" s="4" t="inlineStr">
        <is>
          <t>1. Register a server → chip "github".
2. Paste WRONG_TOKEN into "Credential".
3. Click "Connect".</t>
        </is>
      </c>
      <c r="G18" s="4" t="inlineStr">
        <is>
          <t>Message starts "Nothing was saved. github rejected that credential." No card, no connection.</t>
        </is>
      </c>
      <c r="H18" s="8" t="inlineStr"/>
      <c r="I18" s="4" t="inlineStr">
        <is>
          <t>P1</t>
        </is>
      </c>
      <c r="J18" s="6" t="inlineStr">
        <is>
          <t>Not run</t>
        </is>
      </c>
      <c r="K18" s="6" t="inlineStr"/>
    </row>
    <row r="19">
      <c r="A19" s="7" t="inlineStr">
        <is>
          <t>REG-06</t>
        </is>
      </c>
      <c r="B19" s="4" t="inlineStr">
        <is>
          <t>MCP Registry</t>
        </is>
      </c>
      <c r="C19" s="4" t="inlineStr">
        <is>
          <t>A user cannot switch on destructive tools</t>
        </is>
      </c>
      <c r="D19" s="4" t="inlineStr">
        <is>
          <t>Company A user (priya@northwind.example)</t>
        </is>
      </c>
      <c r="E19" s="4" t="inlineStr">
        <is>
          <t>Signed in as Priya. GITHUB_PAT ready.</t>
        </is>
      </c>
      <c r="F19" s="4" t="inlineStr">
        <is>
          <t>1. Register a server → chip "github" → paste GITHUB_PAT → "Connect".
2. Find the "destructive" group in the tool list (e.g. delete_file).
3. Try to tick it. Hover over it.
4. Click "all" in the list header.
5. Click "Save server".</t>
        </is>
      </c>
      <c r="G19" s="4" t="inlineStr">
        <is>
          <t>Destructive tools are greyed out and cannot be ticked; hover reads "Only an admin can enable destructive tools". A line says "1 destructive tool can only be enabled by an admin." "all" ticks everything EXCEPT them. The saved card shows no destructive tool switched on.</t>
        </is>
      </c>
      <c r="H19" s="8" t="inlineStr">
        <is>
          <t>SELECT t.name, t.risk, t.enabled FROM &lt;priya's schema&gt;.mcp_tools t WHERE t.risk='destructive';  -- enabled = false</t>
        </is>
      </c>
      <c r="I19" s="4" t="inlineStr">
        <is>
          <t>P1</t>
        </is>
      </c>
      <c r="J19" s="6" t="inlineStr">
        <is>
          <t>Not run</t>
        </is>
      </c>
      <c r="K19" s="6" t="inlineStr"/>
    </row>
    <row r="20">
      <c r="A20" s="7" t="inlineStr">
        <is>
          <t>REG-07</t>
        </is>
      </c>
      <c r="B20" s="4" t="inlineStr">
        <is>
          <t>MCP Registry</t>
        </is>
      </c>
      <c r="C20" s="4" t="inlineStr">
        <is>
          <t>An admin can switch on a destructive tool</t>
        </is>
      </c>
      <c r="D20" s="4" t="inlineStr">
        <is>
          <t>Company A admin (shivani@northwind.example)</t>
        </is>
      </c>
      <c r="E20" s="4" t="inlineStr">
        <is>
          <t>REG-03 passed.</t>
        </is>
      </c>
      <c r="F20" s="4" t="inlineStr">
        <is>
          <t>1. On Shivani's github card click "Edit".
2. Tick delete_file in the tool list.
3. Click "Save changes".</t>
        </is>
      </c>
      <c r="G20" s="4" t="inlineStr">
        <is>
          <t>Back on the registry, the github card shows "1 destructive". (Write and destructive tools still ask for approval on every call.)</t>
        </is>
      </c>
      <c r="H20" s="8" t="inlineStr"/>
      <c r="I20" s="4" t="inlineStr">
        <is>
          <t>P2</t>
        </is>
      </c>
      <c r="J20" s="6" t="inlineStr">
        <is>
          <t>Not run</t>
        </is>
      </c>
      <c r="K20" s="6" t="inlineStr"/>
    </row>
    <row r="21">
      <c r="A21" s="7" t="inlineStr">
        <is>
          <t>REG-08</t>
        </is>
      </c>
      <c r="B21" s="4" t="inlineStr">
        <is>
          <t>MCP Registry</t>
        </is>
      </c>
      <c r="C21" s="4" t="inlineStr">
        <is>
          <t>Registering a name that is already taken is refused</t>
        </is>
      </c>
      <c r="D21" s="4" t="inlineStr">
        <is>
          <t>Company A admin (shivani@northwind.example)</t>
        </is>
      </c>
      <c r="E21" s="4" t="inlineStr">
        <is>
          <t>REG-03 passed.</t>
        </is>
      </c>
      <c r="F21" s="4" t="inlineStr">
        <is>
          <t>1. Register a server → chip "github" → paste GITHUB_PAT → "Connect" → "Save server".</t>
        </is>
      </c>
      <c r="G21" s="4" t="inlineStr">
        <is>
          <t>Message: "Nothing was saved. github is already registered. To change it, use Edit on its card above." The existing card is unchanged.</t>
        </is>
      </c>
      <c r="H21" s="8" t="inlineStr"/>
      <c r="I21" s="4" t="inlineStr">
        <is>
          <t>P1</t>
        </is>
      </c>
      <c r="J21" s="6" t="inlineStr">
        <is>
          <t>Not run</t>
        </is>
      </c>
      <c r="K21" s="6" t="inlineStr"/>
    </row>
    <row r="22">
      <c r="A22" s="7" t="inlineStr">
        <is>
          <t>REG-09</t>
        </is>
      </c>
      <c r="B22" s="4" t="inlineStr">
        <is>
          <t>MCP Registry</t>
        </is>
      </c>
      <c r="C22" s="4" t="inlineStr">
        <is>
          <t>"Visible to" options depend on role</t>
        </is>
      </c>
      <c r="D22" s="4" t="inlineStr">
        <is>
          <t>Company A user (priya@northwind.example) / Company A admin (shivani@northwind.example) / Platform admin (admin@forge.dev)</t>
        </is>
      </c>
      <c r="E22" s="4" t="inlineStr">
        <is>
          <t>None.</t>
        </is>
      </c>
      <c r="F22" s="4" t="inlineStr">
        <is>
          <t>1. As Priya open the register form and open "Visible to".
2. Repeat as Shivani.
3. Repeat as admin@forge.dev.</t>
        </is>
      </c>
      <c r="G22" s="4" t="inlineStr">
        <is>
          <t>Priya: "Just my workspace" and a disabled "Everyone (admin only)". Shivani: also "My whole company". Platform admin: only "Everyone (admin only)".</t>
        </is>
      </c>
      <c r="H22" s="8" t="inlineStr"/>
      <c r="I22" s="4" t="inlineStr">
        <is>
          <t>P2</t>
        </is>
      </c>
      <c r="J22" s="6" t="inlineStr">
        <is>
          <t>Not run</t>
        </is>
      </c>
      <c r="K22" s="6" t="inlineStr"/>
    </row>
    <row r="23">
      <c r="A23" s="7" t="inlineStr">
        <is>
          <t>REG-10</t>
        </is>
      </c>
      <c r="B23" s="4" t="inlineStr">
        <is>
          <t>MCP Registry</t>
        </is>
      </c>
      <c r="C23" s="4" t="inlineStr">
        <is>
          <t>Company admin shares a server with the company</t>
        </is>
      </c>
      <c r="D23" s="4" t="inlineStr">
        <is>
          <t>Company A admin (shivani@northwind.example) then Company A user (priya@northwind.example)</t>
        </is>
      </c>
      <c r="E23" s="4" t="inlineStr">
        <is>
          <t>REG-03 passed.</t>
        </is>
      </c>
      <c r="F23" s="4" t="inlineStr">
        <is>
          <t>1. As Shivani, on the github card click "share with company".
2. Sign in as Priya and open MCP Registry.</t>
        </is>
      </c>
      <c r="G23" s="4" t="inlineStr">
        <is>
          <t>Shivani's card shows "whole company". Priya sees the github card with "registered by shivani@northwind.example" and a "Connect" button (she must connect her OWN token).</t>
        </is>
      </c>
      <c r="H23" s="8" t="inlineStr">
        <is>
          <t>SELECT name, visibility FROM t_northwind_labs.mcp_servers;  -- github | company</t>
        </is>
      </c>
      <c r="I23" s="4" t="inlineStr">
        <is>
          <t>P1</t>
        </is>
      </c>
      <c r="J23" s="6" t="inlineStr">
        <is>
          <t>Not run</t>
        </is>
      </c>
      <c r="K23" s="6" t="inlineStr"/>
    </row>
    <row r="24">
      <c r="A24" s="7" t="inlineStr">
        <is>
          <t>REG-11</t>
        </is>
      </c>
      <c r="B24" s="4" t="inlineStr">
        <is>
          <t>MCP Registry</t>
        </is>
      </c>
      <c r="C24" s="4" t="inlineStr">
        <is>
          <t>"make private" takes the server back</t>
        </is>
      </c>
      <c r="D24" s="4" t="inlineStr">
        <is>
          <t>Company A admin (shivani@northwind.example) then Company A user (priya@northwind.example)</t>
        </is>
      </c>
      <c r="E24" s="4" t="inlineStr">
        <is>
          <t>REG-10 passed.</t>
        </is>
      </c>
      <c r="F24" s="4" t="inlineStr">
        <is>
          <t>1. As Shivani click "make private" on the github card.
2. Sign in as Priya and open MCP Registry.
3. Afterwards, click "share with company" again (later tests need it shared).</t>
        </is>
      </c>
      <c r="G24" s="4" t="inlineStr">
        <is>
          <t>Priya no longer sees Shivani's github card while it is private.</t>
        </is>
      </c>
      <c r="H24" s="8" t="inlineStr"/>
      <c r="I24" s="4" t="inlineStr">
        <is>
          <t>P2</t>
        </is>
      </c>
      <c r="J24" s="6" t="inlineStr">
        <is>
          <t>Not run</t>
        </is>
      </c>
      <c r="K24" s="6" t="inlineStr"/>
    </row>
    <row r="25">
      <c r="A25" s="7" t="inlineStr">
        <is>
          <t>REG-12</t>
        </is>
      </c>
      <c r="B25" s="4" t="inlineStr">
        <is>
          <t>MCP Registry</t>
        </is>
      </c>
      <c r="C25" s="4" t="inlineStr">
        <is>
          <t>A user has no Edit / Delete on any card</t>
        </is>
      </c>
      <c r="D25" s="4" t="inlineStr">
        <is>
          <t>Company A user (priya@northwind.example)</t>
        </is>
      </c>
      <c r="E25" s="4" t="inlineStr">
        <is>
          <t>REG-10 passed.</t>
        </is>
      </c>
      <c r="F25" s="4" t="inlineStr">
        <is>
          <t>1. As Priya look at every card in MCP Registry, including any she registered herself.</t>
        </is>
      </c>
      <c r="G25" s="4" t="inlineStr">
        <is>
          <t>No "Edit" or "Delete" buttons and no share links appear for a user. Only admins edit or delete, and only servers they own.</t>
        </is>
      </c>
      <c r="H25" s="8" t="inlineStr"/>
      <c r="I25" s="4" t="inlineStr">
        <is>
          <t>P2</t>
        </is>
      </c>
      <c r="J25" s="6" t="inlineStr">
        <is>
          <t>Not run</t>
        </is>
      </c>
      <c r="K25" s="6" t="inlineStr"/>
    </row>
    <row r="26">
      <c r="A26" s="7" t="inlineStr">
        <is>
          <t>REG-13</t>
        </is>
      </c>
      <c r="B26" s="4" t="inlineStr">
        <is>
          <t>MCP Registry</t>
        </is>
      </c>
      <c r="C26" s="4" t="inlineStr">
        <is>
          <t>Edit the description (no network needed)</t>
        </is>
      </c>
      <c r="D26" s="4" t="inlineStr">
        <is>
          <t>Company A admin (shivani@northwind.example)</t>
        </is>
      </c>
      <c r="E26" s="4" t="inlineStr">
        <is>
          <t>REG-01 passed.</t>
        </is>
      </c>
      <c r="F26" s="4" t="inlineStr">
        <is>
          <t>1. On the filesystem card click "Edit" (page "Edit filesystem").
2. Change "Description" to "Test edit".
3. Click "Save changes".</t>
        </is>
      </c>
      <c r="G26" s="4" t="inlineStr">
        <is>
          <t>Back on the registry the card shows the new description. Tools and health are unchanged.</t>
        </is>
      </c>
      <c r="H26" s="8" t="inlineStr"/>
      <c r="I26" s="4" t="inlineStr">
        <is>
          <t>P2</t>
        </is>
      </c>
      <c r="J26" s="6" t="inlineStr">
        <is>
          <t>Not run</t>
        </is>
      </c>
      <c r="K26" s="6" t="inlineStr"/>
    </row>
    <row r="27">
      <c r="A27" s="7" t="inlineStr">
        <is>
          <t>REG-14</t>
        </is>
      </c>
      <c r="B27" s="4" t="inlineStr">
        <is>
          <t>MCP Registry</t>
        </is>
      </c>
      <c r="C27" s="4" t="inlineStr">
        <is>
          <t>Edit to a broken endpoint saves nothing</t>
        </is>
      </c>
      <c r="D27" s="4" t="inlineStr">
        <is>
          <t>Company A admin (shivani@northwind.example)</t>
        </is>
      </c>
      <c r="E27" s="4" t="inlineStr">
        <is>
          <t>REG-01 passed.</t>
        </is>
      </c>
      <c r="F27" s="4" t="inlineStr">
        <is>
          <t>1. On the filesystem card click "Edit".
2. Change "Endpoint" to definitely-not-a-real-binary.
3. Click "Save changes".</t>
        </is>
      </c>
      <c r="G27" s="4" t="inlineStr">
        <is>
          <t>Message starts "Nothing was saved." The card keeps its old endpoint.</t>
        </is>
      </c>
      <c r="H27" s="8" t="inlineStr"/>
      <c r="I27" s="4" t="inlineStr">
        <is>
          <t>P2</t>
        </is>
      </c>
      <c r="J27" s="6" t="inlineStr">
        <is>
          <t>Not run</t>
        </is>
      </c>
      <c r="K27" s="6" t="inlineStr"/>
    </row>
    <row r="28">
      <c r="A28" s="7" t="inlineStr">
        <is>
          <t>REG-15</t>
        </is>
      </c>
      <c r="B28" s="4" t="inlineStr">
        <is>
          <t>MCP Registry</t>
        </is>
      </c>
      <c r="C28" s="4" t="inlineStr">
        <is>
          <t>Platform admin shares a server with every company</t>
        </is>
      </c>
      <c r="D28" s="4" t="inlineStr">
        <is>
          <t>Platform admin (admin@forge.dev) then Company A user (priya@northwind.example) and Company B user (riya@maven.example)</t>
        </is>
      </c>
      <c r="E28" s="4" t="inlineStr">
        <is>
          <t>SLACK_TOKEN ready.</t>
        </is>
      </c>
      <c r="F28" s="4" t="inlineStr">
        <is>
          <t>1. As admin@forge.dev: + Register a server → chip "slack" → paste SLACK_TOKEN → "Connect".
2. Tick the read tools plus the tool that posts a message (e.g. a send/post message tool) → "Save server".
3. Sign in as Priya, then as Riya, and open MCP Registry.</t>
        </is>
      </c>
      <c r="G28" s="4" t="inlineStr">
        <is>
          <t>Both companies see "slack" under "Shared servers" with a "Connect" button. The platform admin's token was used once for discovery and is NOT stored.</t>
        </is>
      </c>
      <c r="H28" s="8" t="inlineStr">
        <is>
          <t>SELECT name FROM platform.mcp_servers;  -- slack
SELECT count(*) FROM t_northwind_labs.connections WHERE server_name='slack';  -- 0 until Priya connects</t>
        </is>
      </c>
      <c r="I28" s="4" t="inlineStr">
        <is>
          <t>P1</t>
        </is>
      </c>
      <c r="J28" s="6" t="inlineStr">
        <is>
          <t>Not run</t>
        </is>
      </c>
      <c r="K28" s="6" t="inlineStr"/>
    </row>
    <row r="29">
      <c r="A29" s="7" t="inlineStr">
        <is>
          <t>REG-16</t>
        </is>
      </c>
      <c r="B29" s="4" t="inlineStr">
        <is>
          <t>MCP Registry</t>
        </is>
      </c>
      <c r="C29" s="4" t="inlineStr">
        <is>
          <t>Re-check refreshes the server</t>
        </is>
      </c>
      <c r="D29" s="4" t="inlineStr">
        <is>
          <t>Company A admin (shivani@northwind.example)</t>
        </is>
      </c>
      <c r="E29" s="4" t="inlineStr">
        <is>
          <t>REG-01 passed.</t>
        </is>
      </c>
      <c r="F29" s="4" t="inlineStr">
        <is>
          <t>1. On the filesystem card click "re-check".</t>
        </is>
      </c>
      <c r="G29" s="4" t="inlineStr">
        <is>
          <t>The link shows "working…" then the card reads "checked just now" with health "ok".</t>
        </is>
      </c>
      <c r="H29" s="8" t="inlineStr"/>
      <c r="I29" s="4" t="inlineStr">
        <is>
          <t>P2</t>
        </is>
      </c>
      <c r="J29" s="6" t="inlineStr">
        <is>
          <t>Not run</t>
        </is>
      </c>
      <c r="K29" s="6" t="inlineStr"/>
    </row>
    <row r="30">
      <c r="A30" s="7" t="inlineStr">
        <is>
          <t>REG-17</t>
        </is>
      </c>
      <c r="B30" s="4" t="inlineStr">
        <is>
          <t>MCP Registry</t>
        </is>
      </c>
      <c r="C30" s="4" t="inlineStr">
        <is>
          <t>Register Tavily (web search)</t>
        </is>
      </c>
      <c r="D30" s="4" t="inlineStr">
        <is>
          <t>Company A admin (shivani@northwind.example)</t>
        </is>
      </c>
      <c r="E30" s="4" t="inlineStr">
        <is>
          <t>TAVILY_KEY ready.</t>
        </is>
      </c>
      <c r="F30" s="4" t="inlineStr">
        <is>
          <t>1. + Register a server → chip "tavily" → paste TAVILY_KEY → "Connect" → "Save server".</t>
        </is>
      </c>
      <c r="G30" s="4" t="inlineStr">
        <is>
          <t>A "tavily" card appears, "connected", with search/extract tools.</t>
        </is>
      </c>
      <c r="H30" s="8" t="inlineStr"/>
      <c r="I30" s="4" t="inlineStr">
        <is>
          <t>P2</t>
        </is>
      </c>
      <c r="J30" s="6" t="inlineStr">
        <is>
          <t>Not run</t>
        </is>
      </c>
      <c r="K30" s="6" t="inlineStr"/>
    </row>
    <row r="31">
      <c r="A31" s="7" t="inlineStr">
        <is>
          <t>REG-18</t>
        </is>
      </c>
      <c r="B31" s="4" t="inlineStr">
        <is>
          <t>MCP Registry</t>
        </is>
      </c>
      <c r="C31" s="4" t="inlineStr">
        <is>
          <t>Delete a server you own</t>
        </is>
      </c>
      <c r="D31" s="4" t="inlineStr">
        <is>
          <t>Company A admin (shivani@northwind.example)</t>
        </is>
      </c>
      <c r="E31" s="4" t="inlineStr">
        <is>
          <t>A spare server exists (e.g. register "sqlite" via its chip first).</t>
        </is>
      </c>
      <c r="F31" s="4" t="inlineStr">
        <is>
          <t>1. On the sqlite card click "Delete".
2. Read the confirmation, then confirm.</t>
        </is>
      </c>
      <c r="G31" s="4" t="inlineStr">
        <is>
          <t>The card disappears. Saved connections are kept. Agents that used it lose those tools.</t>
        </is>
      </c>
      <c r="H31" s="8" t="inlineStr">
        <is>
          <t>SELECT count(*) FROM t_northwind_labs.mcp_servers WHERE name='sqlite';  -- 0</t>
        </is>
      </c>
      <c r="I31" s="4" t="inlineStr">
        <is>
          <t>P2</t>
        </is>
      </c>
      <c r="J31" s="6" t="inlineStr">
        <is>
          <t>Not run</t>
        </is>
      </c>
      <c r="K31" s="6" t="inlineStr"/>
    </row>
    <row r="32">
      <c r="A32" s="7" t="inlineStr">
        <is>
          <t>REG-19</t>
        </is>
      </c>
      <c r="B32" s="4" t="inlineStr">
        <is>
          <t>MCP Registry</t>
        </is>
      </c>
      <c r="C32" s="4" t="inlineStr">
        <is>
          <t>Health sweep marks a dead server "down" (optional)</t>
        </is>
      </c>
      <c r="D32" s="4" t="inlineStr">
        <is>
          <t>Company A admin (shivani@northwind.example)</t>
        </is>
      </c>
      <c r="E32" s="4" t="inlineStr">
        <is>
          <t>You can stop a server you registered (e.g. your own local MCP server over http).</t>
        </is>
      </c>
      <c r="F32" s="4" t="inlineStr">
        <is>
          <t>1. Register your own http MCP server.
2. Stop that server.
3. Wait 5 minutes (sweep interval) or click "re-check".</t>
        </is>
      </c>
      <c r="G32" s="4" t="inlineStr">
        <is>
          <t>The card's health changes to "down". Agents that use it report the server as unavailable.</t>
        </is>
      </c>
      <c r="H32" s="8" t="inlineStr"/>
      <c r="I32" s="4" t="inlineStr">
        <is>
          <t>P2</t>
        </is>
      </c>
      <c r="J32" s="6" t="inlineStr">
        <is>
          <t>Not run</t>
        </is>
      </c>
      <c r="K32" s="6" t="inlineStr"/>
    </row>
    <row r="33">
      <c r="A33" s="7" t="inlineStr">
        <is>
          <t>CON-01</t>
        </is>
      </c>
      <c r="B33" s="4" t="inlineStr">
        <is>
          <t>Connections</t>
        </is>
      </c>
      <c r="C33" s="4" t="inlineStr">
        <is>
          <t>Add a connection with a valid token</t>
        </is>
      </c>
      <c r="D33" s="4" t="inlineStr">
        <is>
          <t>Company A user (priya@northwind.example)</t>
        </is>
      </c>
      <c r="E33" s="4" t="inlineStr">
        <is>
          <t>REG-15 passed (slack shared). SLACK_TOKEN ready.</t>
        </is>
      </c>
      <c r="F33" s="4" t="inlineStr">
        <is>
          <t>1. Click "Connections" → "+ Add a connection".
2. Server: slack. Credential: paste SLACK_TOKEN.
3. Click "Save connection".</t>
        </is>
      </c>
      <c r="G33" s="4" t="inlineStr">
        <is>
          <t>The button shows "Checking…", then a row: slack · active · Secret shown as dots · Added by priya@northwind.example. The token is never displayed again.</t>
        </is>
      </c>
      <c r="H33" s="8" t="inlineStr">
        <is>
          <t>SELECT server_name, status, added_by, length(encrypted_secret) AS bytes FROM t_northwind_labs.connections;</t>
        </is>
      </c>
      <c r="I33" s="4" t="inlineStr">
        <is>
          <t>P1</t>
        </is>
      </c>
      <c r="J33" s="6" t="inlineStr">
        <is>
          <t>Not run</t>
        </is>
      </c>
      <c r="K33" s="6" t="inlineStr"/>
    </row>
    <row r="34">
      <c r="A34" s="7" t="inlineStr">
        <is>
          <t>CON-02</t>
        </is>
      </c>
      <c r="B34" s="4" t="inlineStr">
        <is>
          <t>Connections</t>
        </is>
      </c>
      <c r="C34" s="4" t="inlineStr">
        <is>
          <t>A wrong token is checked and refused</t>
        </is>
      </c>
      <c r="D34" s="4" t="inlineStr">
        <is>
          <t>Company A user (priya@northwind.example)</t>
        </is>
      </c>
      <c r="E34" s="4" t="inlineStr">
        <is>
          <t>slack not yet connected for Priya.</t>
        </is>
      </c>
      <c r="F34" s="4" t="inlineStr">
        <is>
          <t>1. Connections → "+ Add a connection" → Server: slack → paste WRONG_TOKEN → "Save connection".</t>
        </is>
      </c>
      <c r="G34" s="4" t="inlineStr">
        <is>
          <t>Message starts "Nothing was saved." No row is added.</t>
        </is>
      </c>
      <c r="H34" s="8" t="inlineStr"/>
      <c r="I34" s="4" t="inlineStr">
        <is>
          <t>P1</t>
        </is>
      </c>
      <c r="J34" s="6" t="inlineStr">
        <is>
          <t>Not run</t>
        </is>
      </c>
      <c r="K34" s="6" t="inlineStr"/>
    </row>
    <row r="35">
      <c r="A35" s="7" t="inlineStr">
        <is>
          <t>CON-03</t>
        </is>
      </c>
      <c r="B35" s="4" t="inlineStr">
        <is>
          <t>Connections</t>
        </is>
      </c>
      <c r="C35" s="4" t="inlineStr">
        <is>
          <t>Connect GitHub for the user</t>
        </is>
      </c>
      <c r="D35" s="4" t="inlineStr">
        <is>
          <t>Company A user (priya@northwind.example)</t>
        </is>
      </c>
      <c r="E35" s="4" t="inlineStr">
        <is>
          <t>REG-10 passed (github shared). GITHUB_PAT ready.</t>
        </is>
      </c>
      <c r="F35" s="4" t="inlineStr">
        <is>
          <t>1. MCP Registry → on the github card click "Connect" (opens Connections).
2. Paste GITHUB_PAT → "Save connection".</t>
        </is>
      </c>
      <c r="G35" s="4" t="inlineStr">
        <is>
          <t>github row is active for Priya. Back on the registry, the github card shows "connected".</t>
        </is>
      </c>
      <c r="H35" s="8" t="inlineStr"/>
      <c r="I35" s="4" t="inlineStr">
        <is>
          <t>P1</t>
        </is>
      </c>
      <c r="J35" s="6" t="inlineStr">
        <is>
          <t>Not run</t>
        </is>
      </c>
      <c r="K35" s="6" t="inlineStr"/>
    </row>
    <row r="36">
      <c r="A36" s="7" t="inlineStr">
        <is>
          <t>CON-04</t>
        </is>
      </c>
      <c r="B36" s="4" t="inlineStr">
        <is>
          <t>Connections</t>
        </is>
      </c>
      <c r="C36" s="4" t="inlineStr">
        <is>
          <t>A colleague's connections are invisible</t>
        </is>
      </c>
      <c r="D36" s="4" t="inlineStr">
        <is>
          <t>Company A admin (shivani@northwind.example)</t>
        </is>
      </c>
      <c r="E36" s="4" t="inlineStr">
        <is>
          <t>CON-01 passed.</t>
        </is>
      </c>
      <c r="F36" s="4" t="inlineStr">
        <is>
          <t>1. Sign in as Shivani and open Connections.</t>
        </is>
      </c>
      <c r="G36" s="4" t="inlineStr">
        <is>
          <t>Shivani sees only her own rows, never Priya's slack connection.</t>
        </is>
      </c>
      <c r="H36" s="8" t="inlineStr"/>
      <c r="I36" s="4" t="inlineStr">
        <is>
          <t>P1</t>
        </is>
      </c>
      <c r="J36" s="6" t="inlineStr">
        <is>
          <t>Not run</t>
        </is>
      </c>
      <c r="K36" s="6" t="inlineStr"/>
    </row>
    <row r="37">
      <c r="A37" s="7" t="inlineStr">
        <is>
          <t>CON-05</t>
        </is>
      </c>
      <c r="B37" s="4" t="inlineStr">
        <is>
          <t>Connections</t>
        </is>
      </c>
      <c r="C37" s="4" t="inlineStr">
        <is>
          <t>Revoke and reconnect</t>
        </is>
      </c>
      <c r="D37" s="4" t="inlineStr">
        <is>
          <t>Company A user (priya@northwind.example)</t>
        </is>
      </c>
      <c r="E37" s="4" t="inlineStr">
        <is>
          <t>CON-01 passed.</t>
        </is>
      </c>
      <c r="F37" s="4" t="inlineStr">
        <is>
          <t>1. Connections → on the slack row click "Revoke".
2. Click "Reconnect" on the revoked row.
3. Paste WRONG_TOKEN → "Reconnect".
4. Paste SLACK_TOKEN → "Reconnect".</t>
        </is>
      </c>
      <c r="G37" s="4" t="inlineStr">
        <is>
          <t>After Revoke: status "revoked". Wrong token: "Nothing was saved." and it stays revoked. Right token: back to "active".</t>
        </is>
      </c>
      <c r="H37" s="8" t="inlineStr">
        <is>
          <t>SELECT server_name, status, length(encrypted_secret) FROM t_northwind_labs.connections;  -- revoked rows have 0 bytes</t>
        </is>
      </c>
      <c r="I37" s="4" t="inlineStr">
        <is>
          <t>P2</t>
        </is>
      </c>
      <c r="J37" s="6" t="inlineStr">
        <is>
          <t>Not run</t>
        </is>
      </c>
      <c r="K37" s="6" t="inlineStr"/>
    </row>
    <row r="38">
      <c r="A38" s="7" t="inlineStr">
        <is>
          <t>BLD-01</t>
        </is>
      </c>
      <c r="B38" s="4" t="inlineStr">
        <is>
          <t>Build</t>
        </is>
      </c>
      <c r="C38" s="4" t="inlineStr">
        <is>
          <t>A simple request pauses at "Pick tools"</t>
        </is>
      </c>
      <c r="D38" s="4" t="inlineStr">
        <is>
          <t>Company A user (priya@northwind.example)</t>
        </is>
      </c>
      <c r="E38" s="4" t="inlineStr">
        <is>
          <t>CON-03 passed (Priya connected to github).</t>
        </is>
      </c>
      <c r="F38" s="4" t="inlineStr">
        <is>
          <t>1. Click "Build".
2. Type: I want an agent that lists the open issues in {GITHUB_REPO}
3. Click "Send".</t>
        </is>
      </c>
      <c r="G38" s="4" t="inlineStr">
        <is>
          <t>Card "Paused · waiting for you" with Shape: single agent, a reason, and suggested tools marked "suggested" (e.g. github.list_issues). Builder graph: step 1 ✓, step 2 "Pick tools" current. The URL gains ?thread=build-…</t>
        </is>
      </c>
      <c r="H38" s="8" t="inlineStr">
        <is>
          <t>SELECT left(thread_id,60) FROM t_northwind_labs.checkpoint_writes WHERE channel='__interrupt__';</t>
        </is>
      </c>
      <c r="I38" s="4" t="inlineStr">
        <is>
          <t>P1</t>
        </is>
      </c>
      <c r="J38" s="6" t="inlineStr">
        <is>
          <t>Not run</t>
        </is>
      </c>
      <c r="K38" s="6" t="inlineStr"/>
    </row>
    <row r="39">
      <c r="A39" s="7" t="inlineStr">
        <is>
          <t>BLD-02</t>
        </is>
      </c>
      <c r="B39" s="4" t="inlineStr">
        <is>
          <t>Build</t>
        </is>
      </c>
      <c r="C39" s="4" t="inlineStr">
        <is>
          <t>Finish the build</t>
        </is>
      </c>
      <c r="D39" s="4" t="inlineStr">
        <is>
          <t>Company A user (priya@northwind.example)</t>
        </is>
      </c>
      <c r="E39" s="4" t="inlineStr">
        <is>
          <t>BLD-01 at the Pick tools pause.</t>
        </is>
      </c>
      <c r="F39" s="4" t="inlineStr">
        <is>
          <t>1. Click "Use these N".</t>
        </is>
      </c>
      <c r="G39" s="4" t="inlineStr">
        <is>
          <t>"Built and deployed. It is live in your workspace — try it in the Playground:" with Shape, Tools, Approvals ("none needed" for read-only), Needs, Score. Buttons "Open the Playground" and "My Agents".</t>
        </is>
      </c>
      <c r="H39" s="8" t="inlineStr">
        <is>
          <t>SELECT name, status FROM t_northwind_labs.agents;  -- status = draft</t>
        </is>
      </c>
      <c r="I39" s="4" t="inlineStr">
        <is>
          <t>P1</t>
        </is>
      </c>
      <c r="J39" s="6" t="inlineStr">
        <is>
          <t>Not run</t>
        </is>
      </c>
      <c r="K39" s="6" t="inlineStr"/>
    </row>
    <row r="40">
      <c r="A40" s="7" t="inlineStr">
        <is>
          <t>BLD-03</t>
        </is>
      </c>
      <c r="B40" s="4" t="inlineStr">
        <is>
          <t>Build</t>
        </is>
      </c>
      <c r="C40" s="4" t="inlineStr">
        <is>
          <t>Read-then-write request is split into specialists</t>
        </is>
      </c>
      <c r="D40" s="4" t="inlineStr">
        <is>
          <t>Company A user (priya@northwind.example)</t>
        </is>
      </c>
      <c r="E40" s="4" t="inlineStr">
        <is>
          <t>CON-01 and CON-03 passed.</t>
        </is>
      </c>
      <c r="F40" s="4" t="inlineStr">
        <is>
          <t>1. Build → type: Read the open issues in {GITHUB_REPO} and post a 3-line summary to Slack channel {SLACK_CHANNEL_ID}
2. Click "Send".
3. Click "Use these N".</t>
        </is>
      </c>
      <c r="G40" s="4" t="inlineStr">
        <is>
          <t>Pause shows Shape: coordinator + two specialists (one gathers, one posts). Finished card lists the Slack post tool under "Approvals".</t>
        </is>
      </c>
      <c r="H40" s="8" t="inlineStr"/>
      <c r="I40" s="4" t="inlineStr">
        <is>
          <t>P1</t>
        </is>
      </c>
      <c r="J40" s="6" t="inlineStr">
        <is>
          <t>Not run</t>
        </is>
      </c>
      <c r="K40" s="6" t="inlineStr"/>
    </row>
    <row r="41">
      <c r="A41" s="7" t="inlineStr">
        <is>
          <t>BLD-04</t>
        </is>
      </c>
      <c r="B41" s="4" t="inlineStr">
        <is>
          <t>Build</t>
        </is>
      </c>
      <c r="C41" s="4" t="inlineStr">
        <is>
          <t>Missing connection is fixed inside the chat</t>
        </is>
      </c>
      <c r="D41" s="4" t="inlineStr">
        <is>
          <t>Company A user (priya@northwind.example)</t>
        </is>
      </c>
      <c r="E41" s="4" t="inlineStr">
        <is>
          <t>Revoke Priya's slack connection first (Connections → Revoke).</t>
        </is>
      </c>
      <c r="F41" s="4" t="inlineStr">
        <is>
          <t>1. Build the BLD-03 request again → "Use these N".
2. Card "Paused · missing credential" lists slack as "missing".
3. Paste SLACK_TOKEN into the field under it → click "Connect slack".</t>
        </is>
      </c>
      <c r="G41" s="4" t="inlineStr">
        <is>
          <t>You never leave the Build page. After "Checking…" the build continues to "Built and deployed" with the same thread in the URL. Connections now shows slack active.</t>
        </is>
      </c>
      <c r="H41" s="8" t="inlineStr"/>
      <c r="I41" s="4" t="inlineStr">
        <is>
          <t>P1</t>
        </is>
      </c>
      <c r="J41" s="6" t="inlineStr">
        <is>
          <t>Not run</t>
        </is>
      </c>
      <c r="K41" s="6" t="inlineStr"/>
    </row>
    <row r="42">
      <c r="A42" s="7" t="inlineStr">
        <is>
          <t>BLD-05</t>
        </is>
      </c>
      <c r="B42" s="4" t="inlineStr">
        <is>
          <t>Build</t>
        </is>
      </c>
      <c r="C42" s="4" t="inlineStr">
        <is>
          <t>Wrong token in the chat keeps the build paused</t>
        </is>
      </c>
      <c r="D42" s="4" t="inlineStr">
        <is>
          <t>Company A user (priya@northwind.example)</t>
        </is>
      </c>
      <c r="E42" s="4" t="inlineStr">
        <is>
          <t>Slack not connected for Priya.</t>
        </is>
      </c>
      <c r="F42" s="4" t="inlineStr">
        <is>
          <t>1. Reach "Paused · missing credential" as in BLD-04.
2. Paste WRONG_TOKEN → "Connect slack".</t>
        </is>
      </c>
      <c r="G42" s="4" t="inlineStr">
        <is>
          <t>Message starts "Nothing was saved." The card stays; you can retry with the right token.</t>
        </is>
      </c>
      <c r="H42" s="8" t="inlineStr"/>
      <c r="I42" s="4" t="inlineStr">
        <is>
          <t>P1</t>
        </is>
      </c>
      <c r="J42" s="6" t="inlineStr">
        <is>
          <t>Not run</t>
        </is>
      </c>
      <c r="K42" s="6" t="inlineStr"/>
    </row>
    <row r="43">
      <c r="A43" s="7" t="inlineStr">
        <is>
          <t>BLD-06</t>
        </is>
      </c>
      <c r="B43" s="4" t="inlineStr">
        <is>
          <t>Build</t>
        </is>
      </c>
      <c r="C43" s="4" t="inlineStr">
        <is>
          <t>Skip builds without the missing server</t>
        </is>
      </c>
      <c r="D43" s="4" t="inlineStr">
        <is>
          <t>Company A user (priya@northwind.example)</t>
        </is>
      </c>
      <c r="E43" s="4" t="inlineStr">
        <is>
          <t>Slack not connected for Priya.</t>
        </is>
      </c>
      <c r="F43" s="4" t="inlineStr">
        <is>
          <t>1. Reach "Paused · missing credential".
2. Click "Skip — build without it".</t>
        </is>
      </c>
      <c r="G43" s="4" t="inlineStr">
        <is>
          <t>The agent is built without the Slack tools.</t>
        </is>
      </c>
      <c r="H43" s="8" t="inlineStr"/>
      <c r="I43" s="4" t="inlineStr">
        <is>
          <t>P2</t>
        </is>
      </c>
      <c r="J43" s="6" t="inlineStr">
        <is>
          <t>Not run</t>
        </is>
      </c>
      <c r="K43" s="6" t="inlineStr"/>
    </row>
    <row r="44">
      <c r="A44" s="7" t="inlineStr">
        <is>
          <t>BLD-07</t>
        </is>
      </c>
      <c r="B44" s="4" t="inlineStr">
        <is>
          <t>Build</t>
        </is>
      </c>
      <c r="C44" s="4" t="inlineStr">
        <is>
          <t>A kind of server you don't have is named</t>
        </is>
      </c>
      <c r="D44" s="4" t="inlineStr">
        <is>
          <t>Company A user (priya@northwind.example)</t>
        </is>
      </c>
      <c r="E44" s="4" t="inlineStr">
        <is>
          <t>No Jira server registered.</t>
        </is>
      </c>
      <c r="F44" s="4" t="inlineStr">
        <is>
          <t>1. Build → type: I want an agent that reads open GitHub issues in {GITHUB_REPO} and creates matching Jira tickets
2. Click "Send".</t>
        </is>
      </c>
      <c r="G44" s="4" t="inlineStr">
        <is>
          <t>The Pick tools card says "Your registry has nothing for part of this." with a "jira" badge, a "Register jira ↗" button and "I registered it — look again". The main button reads "Build without jira — use these N".</t>
        </is>
      </c>
      <c r="H44" s="8" t="inlineStr"/>
      <c r="I44" s="4" t="inlineStr">
        <is>
          <t>P2</t>
        </is>
      </c>
      <c r="J44" s="6" t="inlineStr">
        <is>
          <t>Not run</t>
        </is>
      </c>
      <c r="K44" s="6" t="inlineStr"/>
    </row>
    <row r="45">
      <c r="A45" s="7" t="inlineStr">
        <is>
          <t>BLD-08</t>
        </is>
      </c>
      <c r="B45" s="4" t="inlineStr">
        <is>
          <t>Build</t>
        </is>
      </c>
      <c r="C45" s="4" t="inlineStr">
        <is>
          <t>An impossible request is refused and nothing is built</t>
        </is>
      </c>
      <c r="D45" s="4" t="inlineStr">
        <is>
          <t>Company A user (priya@northwind.example)</t>
        </is>
      </c>
      <c r="E45" s="4" t="inlineStr">
        <is>
          <t>github shared with only read tools and issue_write on (no delete-issue tool exists).</t>
        </is>
      </c>
      <c r="F45" s="4" t="inlineStr">
        <is>
          <t>1. Build → type: I want an agent that deletes all open bugs in {GITHUB_REPO}
2. Click "Send".</t>
        </is>
      </c>
      <c r="G45" s="4" t="inlineStr">
        <is>
          <t>Message: "I can't build this agent, so I haven't created one. None of the tools you can use (github…) can: delete …" Builder graph stops at step 1 with a red ✕; steps 2–4 are not ticked. My Agents shows no new agent. It does NOT say "switched off by your admin" (no switched-off tool could delete).</t>
        </is>
      </c>
      <c r="H45" s="8" t="inlineStr"/>
      <c r="I45" s="4" t="inlineStr">
        <is>
          <t>P1</t>
        </is>
      </c>
      <c r="J45" s="6" t="inlineStr">
        <is>
          <t>Not run</t>
        </is>
      </c>
      <c r="K45" s="6" t="inlineStr"/>
    </row>
    <row r="46">
      <c r="A46" s="7" t="inlineStr">
        <is>
          <t>BLD-09</t>
        </is>
      </c>
      <c r="B46" s="4" t="inlineStr">
        <is>
          <t>Build</t>
        </is>
      </c>
      <c r="C46" s="4" t="inlineStr">
        <is>
          <t>A paused build survives a server restart</t>
        </is>
      </c>
      <c r="D46" s="4" t="inlineStr">
        <is>
          <t>Company A user (priya@northwind.example)</t>
        </is>
      </c>
      <c r="E46" s="4" t="inlineStr">
        <is>
          <t>BLD-01 at the Pick tools pause.</t>
        </is>
      </c>
      <c r="F46" s="4" t="inlineStr">
        <is>
          <t>1. Copy the page URL (it contains ?thread=build-…).
2. In a terminal: docker compose restart api.
3. Wait ~10 s, then reload the page.</t>
        </is>
      </c>
      <c r="G46" s="4" t="inlineStr">
        <is>
          <t>The same "Paused · waiting for you" card is back with the same tools; "Use these N" still works.</t>
        </is>
      </c>
      <c r="H46" s="8" t="inlineStr"/>
      <c r="I46" s="4" t="inlineStr">
        <is>
          <t>P1</t>
        </is>
      </c>
      <c r="J46" s="6" t="inlineStr">
        <is>
          <t>Not run</t>
        </is>
      </c>
      <c r="K46" s="6" t="inlineStr"/>
    </row>
    <row r="47">
      <c r="A47" s="7" t="inlineStr">
        <is>
          <t>BLD-10</t>
        </is>
      </c>
      <c r="B47" s="4" t="inlineStr">
        <is>
          <t>Build</t>
        </is>
      </c>
      <c r="C47" s="4" t="inlineStr">
        <is>
          <t>Building with an empty registry</t>
        </is>
      </c>
      <c r="D47" s="4" t="inlineStr">
        <is>
          <t>Company B user (riya@maven.example)</t>
        </is>
      </c>
      <c r="E47" s="4" t="inlineStr">
        <is>
          <t>Company B has no servers of its own (shared slack may exist).</t>
        </is>
      </c>
      <c r="F47" s="4" t="inlineStr">
        <is>
          <t>1. As Riya: Build → type a GitHub request → "Send".</t>
        </is>
      </c>
      <c r="G47" s="4" t="inlineStr">
        <is>
          <t>Riya is told her registry lacks what is needed; no agent is created.</t>
        </is>
      </c>
      <c r="H47" s="8" t="inlineStr"/>
      <c r="I47" s="4" t="inlineStr">
        <is>
          <t>P2</t>
        </is>
      </c>
      <c r="J47" s="6" t="inlineStr">
        <is>
          <t>Not run</t>
        </is>
      </c>
      <c r="K47" s="6" t="inlineStr"/>
    </row>
    <row r="48">
      <c r="A48" s="7" t="inlineStr">
        <is>
          <t>PLY-01</t>
        </is>
      </c>
      <c r="B48" s="4" t="inlineStr">
        <is>
          <t>Playground</t>
        </is>
      </c>
      <c r="C48" s="4" t="inlineStr">
        <is>
          <t>A read-only run</t>
        </is>
      </c>
      <c r="D48" s="4" t="inlineStr">
        <is>
          <t>Company A user (priya@northwind.example)</t>
        </is>
      </c>
      <c r="E48" s="4" t="inlineStr">
        <is>
          <t>BLD-02 passed.</t>
        </is>
      </c>
      <c r="F48" s="4" t="inlineStr">
        <is>
          <t>1. From the finished build click "Open the Playground".
2. Type: List the open issues in {GITHUB_REPO}
3. Click "Send".</t>
        </is>
      </c>
      <c r="G48" s="4" t="inlineStr">
        <is>
          <t>Live lines show the tool being called and "answered"; the answer lists the issues. "This run" panel: Status ok, Latency, Steps.</t>
        </is>
      </c>
      <c r="H48" s="8" t="inlineStr">
        <is>
          <t>SELECT status, trigger, latency_ms FROM t_northwind_labs.runs ORDER BY started_at DESC LIMIT 1;  -- ok | playground</t>
        </is>
      </c>
      <c r="I48" s="4" t="inlineStr">
        <is>
          <t>P1</t>
        </is>
      </c>
      <c r="J48" s="6" t="inlineStr">
        <is>
          <t>Not run</t>
        </is>
      </c>
      <c r="K48" s="6" t="inlineStr"/>
    </row>
    <row r="49">
      <c r="A49" s="7" t="inlineStr">
        <is>
          <t>PLY-02</t>
        </is>
      </c>
      <c r="B49" s="4" t="inlineStr">
        <is>
          <t>Playground</t>
        </is>
      </c>
      <c r="C49" s="4" t="inlineStr">
        <is>
          <t>A write tool stops for approval</t>
        </is>
      </c>
      <c r="D49" s="4" t="inlineStr">
        <is>
          <t>Company A user (priya@northwind.example)</t>
        </is>
      </c>
      <c r="E49" s="4" t="inlineStr">
        <is>
          <t>BLD-03 agent; Priya connected to github and slack.</t>
        </is>
      </c>
      <c r="F49" s="4" t="inlineStr">
        <is>
          <t>1. Open the BLD-03 agent → Playground.
2. Type: Summarise the open issues in {GITHUB_REPO} and post 3 lines to Slack channel {SLACK_CHANNEL_ID}
3. Click "Send".</t>
        </is>
      </c>
      <c r="G49" s="4" t="inlineStr">
        <is>
          <t>Issues are read first; then a card "Waiting for approval · slack.&lt;post tool&gt;" shows the message and channel, with "Approve" and "Reject" and "write tool · nothing runs until you click". No token appears in the card. Nothing is posted yet.</t>
        </is>
      </c>
      <c r="H49" s="8" t="inlineStr">
        <is>
          <t>SELECT status, pending-&gt;&gt;'tool' FROM t_northwind_labs.runs ORDER BY started_at DESC LIMIT 1;  -- awaiting_approval</t>
        </is>
      </c>
      <c r="I49" s="4" t="inlineStr">
        <is>
          <t>P1</t>
        </is>
      </c>
      <c r="J49" s="6" t="inlineStr">
        <is>
          <t>Not run</t>
        </is>
      </c>
      <c r="K49" s="6" t="inlineStr"/>
    </row>
    <row r="50">
      <c r="A50" s="7" t="inlineStr">
        <is>
          <t>PLY-03</t>
        </is>
      </c>
      <c r="B50" s="4" t="inlineStr">
        <is>
          <t>Playground</t>
        </is>
      </c>
      <c r="C50" s="4" t="inlineStr">
        <is>
          <t>Approve performs the action</t>
        </is>
      </c>
      <c r="D50" s="4" t="inlineStr">
        <is>
          <t>Company A user (priya@northwind.example)</t>
        </is>
      </c>
      <c r="E50" s="4" t="inlineStr">
        <is>
          <t>PLY-02 waiting.</t>
        </is>
      </c>
      <c r="F50" s="4" t="inlineStr">
        <is>
          <t>1. Click "Approve".
2. Open the Slack channel.</t>
        </is>
      </c>
      <c r="G50" s="4" t="inlineStr">
        <is>
          <t>The run finishes "ok". The message is in the Slack channel.</t>
        </is>
      </c>
      <c r="H50" s="8" t="inlineStr">
        <is>
          <t>SELECT status, left(output,60) FROM t_northwind_labs.runs ORDER BY started_at DESC LIMIT 1;  -- ok</t>
        </is>
      </c>
      <c r="I50" s="4" t="inlineStr">
        <is>
          <t>P1</t>
        </is>
      </c>
      <c r="J50" s="6" t="inlineStr">
        <is>
          <t>Not run</t>
        </is>
      </c>
      <c r="K50" s="6" t="inlineStr"/>
    </row>
    <row r="51">
      <c r="A51" s="7" t="inlineStr">
        <is>
          <t>PLY-04</t>
        </is>
      </c>
      <c r="B51" s="4" t="inlineStr">
        <is>
          <t>Playground</t>
        </is>
      </c>
      <c r="C51" s="4" t="inlineStr">
        <is>
          <t>Reject means nothing is done</t>
        </is>
      </c>
      <c r="D51" s="4" t="inlineStr">
        <is>
          <t>Company A user (priya@northwind.example)</t>
        </is>
      </c>
      <c r="E51" s="4" t="inlineStr">
        <is>
          <t>Run PLY-02 again so a new approval card is waiting.</t>
        </is>
      </c>
      <c r="F51" s="4" t="inlineStr">
        <is>
          <t>1. Click "Reject".
2. Check the Slack channel.</t>
        </is>
      </c>
      <c r="G51" s="4" t="inlineStr">
        <is>
          <t>The run ends "rejected"; no new Slack message.</t>
        </is>
      </c>
      <c r="H51" s="8" t="inlineStr"/>
      <c r="I51" s="4" t="inlineStr">
        <is>
          <t>P1</t>
        </is>
      </c>
      <c r="J51" s="6" t="inlineStr">
        <is>
          <t>Not run</t>
        </is>
      </c>
      <c r="K51" s="6" t="inlineStr"/>
    </row>
    <row r="52">
      <c r="A52" s="7" t="inlineStr">
        <is>
          <t>PLY-05</t>
        </is>
      </c>
      <c r="B52" s="4" t="inlineStr">
        <is>
          <t>Playground</t>
        </is>
      </c>
      <c r="C52" s="4" t="inlineStr">
        <is>
          <t>An approval waits through a restart</t>
        </is>
      </c>
      <c r="D52" s="4" t="inlineStr">
        <is>
          <t>Company A user (priya@northwind.example)</t>
        </is>
      </c>
      <c r="E52" s="4" t="inlineStr">
        <is>
          <t>Run PLY-02 again so an approval card is waiting.</t>
        </is>
      </c>
      <c r="F52" s="4" t="inlineStr">
        <is>
          <t>1. In a terminal: docker compose restart api.
2. Reload the Playground.</t>
        </is>
      </c>
      <c r="G52" s="4" t="inlineStr">
        <is>
          <t>The same "Waiting for approval" card is shown; "Approve" still completes the run.</t>
        </is>
      </c>
      <c r="H52" s="8" t="inlineStr"/>
      <c r="I52" s="4" t="inlineStr">
        <is>
          <t>P1</t>
        </is>
      </c>
      <c r="J52" s="6" t="inlineStr">
        <is>
          <t>Not run</t>
        </is>
      </c>
      <c r="K52" s="6" t="inlineStr"/>
    </row>
    <row r="53">
      <c r="A53" s="7" t="inlineStr">
        <is>
          <t>PLY-06</t>
        </is>
      </c>
      <c r="B53" s="4" t="inlineStr">
        <is>
          <t>Playground</t>
        </is>
      </c>
      <c r="C53" s="4" t="inlineStr">
        <is>
          <t>Missing details are asked for, never invented</t>
        </is>
      </c>
      <c r="D53" s="4" t="inlineStr">
        <is>
          <t>Company A user (priya@northwind.example)</t>
        </is>
      </c>
      <c r="E53" s="4" t="inlineStr">
        <is>
          <t>Build an agent: "I want an agent that lists the open bugs in a GitHub repository" (no repo named).</t>
        </is>
      </c>
      <c r="F53" s="4" t="inlineStr">
        <is>
          <t>1. Open its Playground.
2. Type: Show me all the bugs
3. Click "Send".</t>
        </is>
      </c>
      <c r="G53" s="4" t="inlineStr">
        <is>
          <t>The agent asks for the repository (e.g. "Please provide the repository name in owner/repo format."). It does NOT report "my-org/my-repo could not be found" or use any made-up repository.</t>
        </is>
      </c>
      <c r="H53" s="8" t="inlineStr"/>
      <c r="I53" s="4" t="inlineStr">
        <is>
          <t>P1</t>
        </is>
      </c>
      <c r="J53" s="6" t="inlineStr">
        <is>
          <t>Not run</t>
        </is>
      </c>
      <c r="K53" s="6" t="inlineStr"/>
    </row>
    <row r="54">
      <c r="A54" s="7" t="inlineStr">
        <is>
          <t>PLY-07</t>
        </is>
      </c>
      <c r="B54" s="4" t="inlineStr">
        <is>
          <t>Playground</t>
        </is>
      </c>
      <c r="C54" s="4" t="inlineStr">
        <is>
          <t>Follow-up answers continue the conversation (no loop)</t>
        </is>
      </c>
      <c r="D54" s="4" t="inlineStr">
        <is>
          <t>Company A user (priya@northwind.example)</t>
        </is>
      </c>
      <c r="E54" s="4" t="inlineStr">
        <is>
          <t>Build an agent: "Read GitHub issues and post a summary to Slack" (no repo or channel).</t>
        </is>
      </c>
      <c r="F54" s="4" t="inlineStr">
        <is>
          <t>1. Playground → type: Read the GitHub issues and write a summary to Slack → "Send".
2. When asked for the repository, reply {GITHUB_REPO}.
3. When asked for the Slack channel, reply {SLACK_CHANNEL_ID}.</t>
        </is>
      </c>
      <c r="G54" s="4" t="inlineStr">
        <is>
          <t>It never asks for the repository a second time. It reaches the "Waiting for approval" card for the Slack post. Under the input: "Your next message continues this conversation (N earlier turns remembered)."</t>
        </is>
      </c>
      <c r="H54" s="8" t="inlineStr"/>
      <c r="I54" s="4" t="inlineStr">
        <is>
          <t>P1</t>
        </is>
      </c>
      <c r="J54" s="6" t="inlineStr">
        <is>
          <t>Not run</t>
        </is>
      </c>
      <c r="K54" s="6" t="inlineStr"/>
    </row>
    <row r="55">
      <c r="A55" s="7" t="inlineStr">
        <is>
          <t>PLY-08</t>
        </is>
      </c>
      <c r="B55" s="4" t="inlineStr">
        <is>
          <t>Playground</t>
        </is>
      </c>
      <c r="C55" s="4" t="inlineStr">
        <is>
          <t>"Start a new chat" forgets the conversation</t>
        </is>
      </c>
      <c r="D55" s="4" t="inlineStr">
        <is>
          <t>Company A user (priya@northwind.example)</t>
        </is>
      </c>
      <c r="E55" s="4" t="inlineStr">
        <is>
          <t>PLY-07 passed.</t>
        </is>
      </c>
      <c r="F55" s="4" t="inlineStr">
        <is>
          <t>1. Click "Start a new chat" under the input.
2. Type: Summarise the issues → "Send".</t>
        </is>
      </c>
      <c r="G55" s="4" t="inlineStr">
        <is>
          <t>The "continues this conversation" note disappears and the agent asks for the repository again (fresh start).</t>
        </is>
      </c>
      <c r="H55" s="8" t="inlineStr"/>
      <c r="I55" s="4" t="inlineStr">
        <is>
          <t>P2</t>
        </is>
      </c>
      <c r="J55" s="6" t="inlineStr">
        <is>
          <t>Not run</t>
        </is>
      </c>
      <c r="K55" s="6" t="inlineStr"/>
    </row>
    <row r="56">
      <c r="A56" s="7" t="inlineStr">
        <is>
          <t>PLY-09</t>
        </is>
      </c>
      <c r="B56" s="4" t="inlineStr">
        <is>
          <t>Playground</t>
        </is>
      </c>
      <c r="C56" s="4" t="inlineStr">
        <is>
          <t>Running without a needed connection</t>
        </is>
      </c>
      <c r="D56" s="4" t="inlineStr">
        <is>
          <t>Company A user (priya@northwind.example)</t>
        </is>
      </c>
      <c r="E56" s="4" t="inlineStr">
        <is>
          <t>Revoke Priya's slack connection.</t>
        </is>
      </c>
      <c r="F56" s="4" t="inlineStr">
        <is>
          <t>1. Open the BLD-03 agent → Playground → type a request → "Send".</t>
        </is>
      </c>
      <c r="G56" s="4" t="inlineStr">
        <is>
          <t>Card "Before it runs · check connections" lists slack. "Run anyway (degraded)" runs and reports Slack as not connected; after reconnecting, "I have connected it" runs normally.</t>
        </is>
      </c>
      <c r="H56" s="8" t="inlineStr"/>
      <c r="I56" s="4" t="inlineStr">
        <is>
          <t>P2</t>
        </is>
      </c>
      <c r="J56" s="6" t="inlineStr">
        <is>
          <t>Not run</t>
        </is>
      </c>
      <c r="K56" s="6" t="inlineStr"/>
    </row>
    <row r="57">
      <c r="A57" s="7" t="inlineStr">
        <is>
          <t>PLY-10</t>
        </is>
      </c>
      <c r="B57" s="4" t="inlineStr">
        <is>
          <t>Playground</t>
        </is>
      </c>
      <c r="C57" s="4" t="inlineStr">
        <is>
          <t>Thumbs feed the score</t>
        </is>
      </c>
      <c r="D57" s="4" t="inlineStr">
        <is>
          <t>Company A user (priya@northwind.example)</t>
        </is>
      </c>
      <c r="E57" s="4" t="inlineStr">
        <is>
          <t>PLY-03 passed.</t>
        </is>
      </c>
      <c r="F57" s="4" t="inlineStr">
        <is>
          <t>1. In "This run" click 👍.
2. Look at the "Score" panel; open the "Runs" tab.</t>
        </is>
      </c>
      <c r="G57" s="4" t="inlineStr">
        <is>
          <t>👍 is highlighted; "Does it work?" shows a number; Runs tab shows 👍 for that run.</t>
        </is>
      </c>
      <c r="H57" s="8" t="inlineStr">
        <is>
          <t>SELECT feedback FROM t_northwind_labs.runs ORDER BY started_at DESC LIMIT 1;  -- 1</t>
        </is>
      </c>
      <c r="I57" s="4" t="inlineStr">
        <is>
          <t>P2</t>
        </is>
      </c>
      <c r="J57" s="6" t="inlineStr">
        <is>
          <t>Not run</t>
        </is>
      </c>
      <c r="K57" s="6" t="inlineStr"/>
    </row>
    <row r="58">
      <c r="A58" s="7" t="inlineStr">
        <is>
          <t>AGT-01</t>
        </is>
      </c>
      <c r="B58" s="4" t="inlineStr">
        <is>
          <t>Agents</t>
        </is>
      </c>
      <c r="C58" s="4" t="inlineStr">
        <is>
          <t>My Agents list</t>
        </is>
      </c>
      <c r="D58" s="4" t="inlineStr">
        <is>
          <t>Company A user (priya@northwind.example)</t>
        </is>
      </c>
      <c r="E58" s="4" t="inlineStr">
        <is>
          <t>At least two agents built.</t>
        </is>
      </c>
      <c r="F58" s="4" t="inlineStr">
        <is>
          <t>1. Click "My Agents".</t>
        </is>
      </c>
      <c r="G58" s="4" t="inlineStr">
        <is>
          <t>Each agent card shows its name, "multi-agent" for split agents, and scores or "not run yet". "✦ Build an agent" is at the top.</t>
        </is>
      </c>
      <c r="H58" s="8" t="inlineStr"/>
      <c r="I58" s="4" t="inlineStr">
        <is>
          <t>P2</t>
        </is>
      </c>
      <c r="J58" s="6" t="inlineStr">
        <is>
          <t>Not run</t>
        </is>
      </c>
      <c r="K58" s="6" t="inlineStr"/>
    </row>
    <row r="59">
      <c r="A59" s="7" t="inlineStr">
        <is>
          <t>AGT-02</t>
        </is>
      </c>
      <c r="B59" s="4" t="inlineStr">
        <is>
          <t>Agents</t>
        </is>
      </c>
      <c r="C59" s="4" t="inlineStr">
        <is>
          <t>Overview explains the agent</t>
        </is>
      </c>
      <c r="D59" s="4" t="inlineStr">
        <is>
          <t>Company A user (priya@northwind.example)</t>
        </is>
      </c>
      <c r="E59" s="4" t="inlineStr">
        <is>
          <t>BLD-03 agent exists.</t>
        </is>
      </c>
      <c r="F59" s="4" t="inlineStr">
        <is>
          <t>1. Open the agent → "Overview" tab.</t>
        </is>
      </c>
      <c r="G59" s="4" t="inlineStr">
        <is>
          <t>Shows Agent graph, Instructions, a Tools table (write tools marked "asks a human"), Scores, Details.</t>
        </is>
      </c>
      <c r="H59" s="8" t="inlineStr"/>
      <c r="I59" s="4" t="inlineStr">
        <is>
          <t>P2</t>
        </is>
      </c>
      <c r="J59" s="6" t="inlineStr">
        <is>
          <t>Not run</t>
        </is>
      </c>
      <c r="K59" s="6" t="inlineStr"/>
    </row>
    <row r="60">
      <c r="A60" s="7" t="inlineStr">
        <is>
          <t>AGT-03</t>
        </is>
      </c>
      <c r="B60" s="4" t="inlineStr">
        <is>
          <t>Agents</t>
        </is>
      </c>
      <c r="C60" s="4" t="inlineStr">
        <is>
          <t>Runs history</t>
        </is>
      </c>
      <c r="D60" s="4" t="inlineStr">
        <is>
          <t>Company A user (priya@northwind.example)</t>
        </is>
      </c>
      <c r="E60" s="4" t="inlineStr">
        <is>
          <t>Runs exist.</t>
        </is>
      </c>
      <c r="F60" s="4" t="inlineStr">
        <is>
          <t>1. Open the agent → "Runs" tab.</t>
        </is>
      </c>
      <c r="G60" s="4" t="inlineStr">
        <is>
          <t>Table with When, Trigger (playground/api), Status, Latency, Feedback, Result.</t>
        </is>
      </c>
      <c r="H60" s="8" t="inlineStr"/>
      <c r="I60" s="4" t="inlineStr">
        <is>
          <t>P2</t>
        </is>
      </c>
      <c r="J60" s="6" t="inlineStr">
        <is>
          <t>Not run</t>
        </is>
      </c>
      <c r="K60" s="6" t="inlineStr"/>
    </row>
    <row r="61">
      <c r="A61" s="7" t="inlineStr">
        <is>
          <t>AGT-04</t>
        </is>
      </c>
      <c r="B61" s="4" t="inlineStr">
        <is>
          <t>Agents</t>
        </is>
      </c>
      <c r="C61" s="4" t="inlineStr">
        <is>
          <t>Agents are private to the person who built them</t>
        </is>
      </c>
      <c r="D61" s="4" t="inlineStr">
        <is>
          <t>Company A user (priya@northwind.example) then Company A admin (shivani@northwind.example)</t>
        </is>
      </c>
      <c r="E61" s="4" t="inlineStr">
        <is>
          <t>Priya has an agent.</t>
        </is>
      </c>
      <c r="F61" s="4" t="inlineStr">
        <is>
          <t>1. As Priya copy the URL of one of her agents.
2. Sign in as Shivani; check My Agents; paste Priya's agent URL.</t>
        </is>
      </c>
      <c r="G61" s="4" t="inlineStr">
        <is>
          <t>Shivani's My Agents does not list Priya's agent; the pasted URL shows "Not found."</t>
        </is>
      </c>
      <c r="H61" s="8" t="inlineStr"/>
      <c r="I61" s="4" t="inlineStr">
        <is>
          <t>P1</t>
        </is>
      </c>
      <c r="J61" s="6" t="inlineStr">
        <is>
          <t>Not run</t>
        </is>
      </c>
      <c r="K61" s="6" t="inlineStr"/>
    </row>
    <row r="62">
      <c r="A62" s="7" t="inlineStr">
        <is>
          <t>AGT-05</t>
        </is>
      </c>
      <c r="B62" s="4" t="inlineStr">
        <is>
          <t>Agents</t>
        </is>
      </c>
      <c r="C62" s="4" t="inlineStr">
        <is>
          <t>Delete an agent</t>
        </is>
      </c>
      <c r="D62" s="4" t="inlineStr">
        <is>
          <t>Company A user (priya@northwind.example)</t>
        </is>
      </c>
      <c r="E62" s="4" t="inlineStr">
        <is>
          <t>A spare agent that is not waiting for review.</t>
        </is>
      </c>
      <c r="F62" s="4" t="inlineStr">
        <is>
          <t>1. Open it → "Settings" → "Delete agent" → confirm.</t>
        </is>
      </c>
      <c r="G62" s="4" t="inlineStr">
        <is>
          <t>Back on My Agents and the agent is gone. Connections untouched.</t>
        </is>
      </c>
      <c r="H62" s="8" t="inlineStr">
        <is>
          <t>SELECT count(*) FROM t_northwind_labs.agents WHERE name='&lt;agent name&gt;';  -- 0</t>
        </is>
      </c>
      <c r="I62" s="4" t="inlineStr">
        <is>
          <t>P2</t>
        </is>
      </c>
      <c r="J62" s="6" t="inlineStr">
        <is>
          <t>Not run</t>
        </is>
      </c>
      <c r="K62" s="6" t="inlineStr"/>
    </row>
    <row r="63">
      <c r="A63" s="7" t="inlineStr">
        <is>
          <t>TAL-01</t>
        </is>
      </c>
      <c r="B63" s="4" t="inlineStr">
        <is>
          <t>Tool allow-list</t>
        </is>
      </c>
      <c r="C63" s="4" t="inlineStr">
        <is>
          <t>A switched-off tool is not offered to the builder</t>
        </is>
      </c>
      <c r="D63" s="4" t="inlineStr">
        <is>
          <t>Company A admin (shivani@northwind.example) then Company A user (priya@northwind.example)</t>
        </is>
      </c>
      <c r="E63" s="4" t="inlineStr">
        <is>
          <t>github shared by Shivani; Priya connected.</t>
        </is>
      </c>
      <c r="F63" s="4" t="inlineStr">
        <is>
          <t>1. As Shivani: github card → "Edit" → untick list_issues → "Save changes".
2. As Priya: Build → "I want an agent that lists the open issues in {GITHUB_REPO}" → "Send" → "+ show all … tools".</t>
        </is>
      </c>
      <c r="G63" s="4" t="inlineStr">
        <is>
          <t>list_issues is not offered anywhere (the agent uses another read tool, or the build explains it can't).</t>
        </is>
      </c>
      <c r="H63" s="8" t="inlineStr"/>
      <c r="I63" s="4" t="inlineStr">
        <is>
          <t>P1</t>
        </is>
      </c>
      <c r="J63" s="6" t="inlineStr">
        <is>
          <t>Not run</t>
        </is>
      </c>
      <c r="K63" s="6" t="inlineStr"/>
    </row>
    <row r="64">
      <c r="A64" s="7" t="inlineStr">
        <is>
          <t>TAL-02</t>
        </is>
      </c>
      <c r="B64" s="4" t="inlineStr">
        <is>
          <t>Tool allow-list</t>
        </is>
      </c>
      <c r="C64" s="4" t="inlineStr">
        <is>
          <t>An existing agent loses a switched-off tool at run time</t>
        </is>
      </c>
      <c r="D64" s="4" t="inlineStr">
        <is>
          <t>Company A user (priya@northwind.example)</t>
        </is>
      </c>
      <c r="E64" s="4" t="inlineStr">
        <is>
          <t>TAL-01 done; BLD-02 agent was built with list_issues.</t>
        </is>
      </c>
      <c r="F64" s="4" t="inlineStr">
        <is>
          <t>1. Open the BLD-02 agent → Playground → "List the open issues in {GITHUB_REPO}" → "Send".</t>
        </is>
      </c>
      <c r="G64" s="4" t="inlineStr">
        <is>
          <t>list_issues is never called; the agent works with what is left or says it cannot. Re-enable list_issues afterwards (Edit → tick → Save changes).</t>
        </is>
      </c>
      <c r="H64" s="8" t="inlineStr"/>
      <c r="I64" s="4" t="inlineStr">
        <is>
          <t>P1</t>
        </is>
      </c>
      <c r="J64" s="6" t="inlineStr">
        <is>
          <t>Not run</t>
        </is>
      </c>
      <c r="K64" s="6" t="inlineStr"/>
    </row>
    <row r="65">
      <c r="A65" s="7" t="inlineStr">
        <is>
          <t>PUB-01</t>
        </is>
      </c>
      <c r="B65" s="4" t="inlineStr">
        <is>
          <t>Publish &amp; review</t>
        </is>
      </c>
      <c r="C65" s="4" t="inlineStr">
        <is>
          <t>Publishing is blocked until the agent is tested</t>
        </is>
      </c>
      <c r="D65" s="4" t="inlineStr">
        <is>
          <t>Company A user (priya@northwind.example)</t>
        </is>
      </c>
      <c r="E65" s="4" t="inlineStr">
        <is>
          <t>A new agent with no runs.</t>
        </is>
      </c>
      <c r="F65" s="4" t="inlineStr">
        <is>
          <t>1. Open it → "Settings".</t>
        </is>
      </c>
      <c r="G65" s="4" t="inlineStr">
        <is>
          <t>Under "Publish to the Marketplace": Score and Safety checks with what is needed (needs 70 / needs B) and the blocking reason. "Publish to Marketplace" is disabled; the hint says to run it, approve, and rate 👍.</t>
        </is>
      </c>
      <c r="H65" s="8" t="inlineStr"/>
      <c r="I65" s="4" t="inlineStr">
        <is>
          <t>P1</t>
        </is>
      </c>
      <c r="J65" s="6" t="inlineStr">
        <is>
          <t>Not run</t>
        </is>
      </c>
      <c r="K65" s="6" t="inlineStr"/>
    </row>
    <row r="66">
      <c r="A66" s="7" t="inlineStr">
        <is>
          <t>PUB-02</t>
        </is>
      </c>
      <c r="B66" s="4" t="inlineStr">
        <is>
          <t>Publish &amp; review</t>
        </is>
      </c>
      <c r="C66" s="4" t="inlineStr">
        <is>
          <t>See exactly what will leave</t>
        </is>
      </c>
      <c r="D66" s="4" t="inlineStr">
        <is>
          <t>Company A user (priya@northwind.example)</t>
        </is>
      </c>
      <c r="E66" s="4" t="inlineStr">
        <is>
          <t>An agent whose Instructions (Overview tab) mention an email, a URL or the company name.</t>
        </is>
      </c>
      <c r="F66" s="4" t="inlineStr">
        <is>
          <t>1. Settings → click "show exactly what will leave".</t>
        </is>
      </c>
      <c r="G66" s="4" t="inlineStr">
        <is>
          <t>The listing JSON replaces emails with [email removed], links with [link removed], ticket ids with [reference removed], and "Northwind Labs" with "the publisher". No owner, ids, runs or credentials appear.</t>
        </is>
      </c>
      <c r="H66" s="8" t="inlineStr"/>
      <c r="I66" s="4" t="inlineStr">
        <is>
          <t>P1</t>
        </is>
      </c>
      <c r="J66" s="6" t="inlineStr">
        <is>
          <t>Not run</t>
        </is>
      </c>
      <c r="K66" s="6" t="inlineStr"/>
    </row>
    <row r="67">
      <c r="A67" s="7" t="inlineStr">
        <is>
          <t>PUB-03</t>
        </is>
      </c>
      <c r="B67" s="4" t="inlineStr">
        <is>
          <t>Publish &amp; review</t>
        </is>
      </c>
      <c r="C67" s="4" t="inlineStr">
        <is>
          <t>Submit for review</t>
        </is>
      </c>
      <c r="D67" s="4" t="inlineStr">
        <is>
          <t>Company A user (priya@northwind.example)</t>
        </is>
      </c>
      <c r="E67" s="4" t="inlineStr">
        <is>
          <t>BLD-03 agent with a 👍 run and score ≥ 70 / grade ≥ B.</t>
        </is>
      </c>
      <c r="F67" s="4" t="inlineStr">
        <is>
          <t>1. Settings → "Publish to Marketplace".</t>
        </is>
      </c>
      <c r="G67" s="4" t="inlineStr">
        <is>
          <t>Badge "waiting for review"; Submissions table shows a pending row. "Delete agent" is disabled with the tooltip "Waiting for the platform admin's review".</t>
        </is>
      </c>
      <c r="H67" s="8" t="inlineStr">
        <is>
          <t>SELECT status FROM t_northwind_labs.submissions;  -- pending
SELECT status FROM t_northwind_labs.agents;  -- pending_review</t>
        </is>
      </c>
      <c r="I67" s="4" t="inlineStr">
        <is>
          <t>P1</t>
        </is>
      </c>
      <c r="J67" s="6" t="inlineStr">
        <is>
          <t>Not run</t>
        </is>
      </c>
      <c r="K67" s="6" t="inlineStr"/>
    </row>
    <row r="68">
      <c r="A68" s="7" t="inlineStr">
        <is>
          <t>REV-01</t>
        </is>
      </c>
      <c r="B68" s="4" t="inlineStr">
        <is>
          <t>Publish &amp; review</t>
        </is>
      </c>
      <c r="C68" s="4" t="inlineStr">
        <is>
          <t>The review queue</t>
        </is>
      </c>
      <c r="D68" s="4" t="inlineStr">
        <is>
          <t>Platform admin (admin@forge.dev)</t>
        </is>
      </c>
      <c r="E68" s="4" t="inlineStr">
        <is>
          <t>PUB-03 passed.</t>
        </is>
      </c>
      <c r="F68" s="4" t="inlineStr">
        <is>
          <t>1. Sign in as admin@forge.dev → "Admin Review".</t>
        </is>
      </c>
      <c r="G68" s="4" t="inlineStr">
        <is>
          <t>The Queue shows the item with company, Score, "Automatic checks" and "What it can do", and "Notes to the author…".</t>
        </is>
      </c>
      <c r="H68" s="8" t="inlineStr"/>
      <c r="I68" s="4" t="inlineStr">
        <is>
          <t>P1</t>
        </is>
      </c>
      <c r="J68" s="6" t="inlineStr">
        <is>
          <t>Not run</t>
        </is>
      </c>
      <c r="K68" s="6" t="inlineStr"/>
    </row>
    <row r="69">
      <c r="A69" s="7" t="inlineStr">
        <is>
          <t>REV-02</t>
        </is>
      </c>
      <c r="B69" s="4" t="inlineStr">
        <is>
          <t>Publish &amp; review</t>
        </is>
      </c>
      <c r="C69" s="4" t="inlineStr">
        <is>
          <t>Request changes sends it back with notes</t>
        </is>
      </c>
      <c r="D69" s="4" t="inlineStr">
        <is>
          <t>Platform admin (admin@forge.dev) then Company A user (priya@northwind.example)</t>
        </is>
      </c>
      <c r="E69" s="4" t="inlineStr">
        <is>
          <t>REV-01.</t>
        </is>
      </c>
      <c r="F69" s="4" t="inlineStr">
        <is>
          <t>1. Type a note (e.g. "Please describe the Slack output") → "Request changes".
2. Sign in as Priya → agent → Settings.</t>
        </is>
      </c>
      <c r="G69" s="4" t="inlineStr">
        <is>
          <t>Priya sees "Sent back. &lt;your note&gt; — fix it, then publish again." and can publish again.</t>
        </is>
      </c>
      <c r="H69" s="8" t="inlineStr">
        <is>
          <t>SELECT status, notes FROM t_northwind_labs.submissions ORDER BY 1;  -- changes_requested</t>
        </is>
      </c>
      <c r="I69" s="4" t="inlineStr">
        <is>
          <t>P1</t>
        </is>
      </c>
      <c r="J69" s="6" t="inlineStr">
        <is>
          <t>Not run</t>
        </is>
      </c>
      <c r="K69" s="6" t="inlineStr"/>
    </row>
    <row r="70">
      <c r="A70" s="7" t="inlineStr">
        <is>
          <t>REV-03</t>
        </is>
      </c>
      <c r="B70" s="4" t="inlineStr">
        <is>
          <t>Publish &amp; review</t>
        </is>
      </c>
      <c r="C70" s="4" t="inlineStr">
        <is>
          <t>Approve puts it in the Marketplace</t>
        </is>
      </c>
      <c r="D70" s="4" t="inlineStr">
        <is>
          <t>Platform admin (admin@forge.dev) then Company A user (priya@northwind.example)</t>
        </is>
      </c>
      <c r="E70" s="4" t="inlineStr">
        <is>
          <t>Priya re-published after REV-02.</t>
        </is>
      </c>
      <c r="F70" s="4" t="inlineStr">
        <is>
          <t>1. Admin Review → select the item → "Approve &amp; publish".</t>
        </is>
      </c>
      <c r="G70" s="4" t="inlineStr">
        <is>
          <t>The listing appears in Marketplace. Priya's Settings says "A sanitized copy of its design is in the Marketplace."</t>
        </is>
      </c>
      <c r="H70" s="8" t="inlineStr">
        <is>
          <t>SELECT name, publisher, installs FROM platform.listings;
SELECT status FROM t_northwind_labs.agents;  -- live</t>
        </is>
      </c>
      <c r="I70" s="4" t="inlineStr">
        <is>
          <t>P1</t>
        </is>
      </c>
      <c r="J70" s="6" t="inlineStr">
        <is>
          <t>Not run</t>
        </is>
      </c>
      <c r="K70" s="6" t="inlineStr"/>
    </row>
    <row r="71">
      <c r="A71" s="7" t="inlineStr">
        <is>
          <t>REV-04</t>
        </is>
      </c>
      <c r="B71" s="4" t="inlineStr">
        <is>
          <t>Publish &amp; review</t>
        </is>
      </c>
      <c r="C71" s="4" t="inlineStr">
        <is>
          <t>Reject closes the submission</t>
        </is>
      </c>
      <c r="D71" s="4" t="inlineStr">
        <is>
          <t>Platform admin (admin@forge.dev) then Company A user (priya@northwind.example)</t>
        </is>
      </c>
      <c r="E71" s="4" t="inlineStr">
        <is>
          <t>Another agent submitted.</t>
        </is>
      </c>
      <c r="F71" s="4" t="inlineStr">
        <is>
          <t>1. Admin Review → "Reject" with a note.</t>
        </is>
      </c>
      <c r="G71" s="4" t="inlineStr">
        <is>
          <t>No listing is created; the author sees it was rejected and why.</t>
        </is>
      </c>
      <c r="H71" s="8" t="inlineStr"/>
      <c r="I71" s="4" t="inlineStr">
        <is>
          <t>P2</t>
        </is>
      </c>
      <c r="J71" s="6" t="inlineStr">
        <is>
          <t>Not run</t>
        </is>
      </c>
      <c r="K71" s="6" t="inlineStr"/>
    </row>
    <row r="72">
      <c r="A72" s="7" t="inlineStr">
        <is>
          <t>REV-05</t>
        </is>
      </c>
      <c r="B72" s="4" t="inlineStr">
        <is>
          <t>Publish &amp; review</t>
        </is>
      </c>
      <c r="C72" s="4" t="inlineStr">
        <is>
          <t>A waiting review survives a restart</t>
        </is>
      </c>
      <c r="D72" s="4" t="inlineStr">
        <is>
          <t>Platform admin (admin@forge.dev)</t>
        </is>
      </c>
      <c r="E72" s="4" t="inlineStr">
        <is>
          <t>An item is waiting in Admin Review.</t>
        </is>
      </c>
      <c r="F72" s="4" t="inlineStr">
        <is>
          <t>1. docker compose restart api → reload Admin Review.</t>
        </is>
      </c>
      <c r="G72" s="4" t="inlineStr">
        <is>
          <t>The item is still there; deciding it works normally.</t>
        </is>
      </c>
      <c r="H72" s="8" t="inlineStr"/>
      <c r="I72" s="4" t="inlineStr">
        <is>
          <t>P2</t>
        </is>
      </c>
      <c r="J72" s="6" t="inlineStr">
        <is>
          <t>Not run</t>
        </is>
      </c>
      <c r="K72" s="6" t="inlineStr"/>
    </row>
    <row r="73">
      <c r="A73" s="7" t="inlineStr">
        <is>
          <t>MKT-01</t>
        </is>
      </c>
      <c r="B73" s="4" t="inlineStr">
        <is>
          <t>Marketplace</t>
        </is>
      </c>
      <c r="C73" s="4" t="inlineStr">
        <is>
          <t>Another company sees the listing</t>
        </is>
      </c>
      <c r="D73" s="4" t="inlineStr">
        <is>
          <t>Company B user (riya@maven.example)</t>
        </is>
      </c>
      <c r="E73" s="4" t="inlineStr">
        <is>
          <t>REV-03 passed.</t>
        </is>
      </c>
      <c r="F73" s="4" t="inlineStr">
        <is>
          <t>1. Sign in as Riya → "Marketplace".</t>
        </is>
      </c>
      <c r="G73" s="4" t="inlineStr">
        <is>
          <t>The listing card shows "needs github" / "needs slack" chips and an install count.</t>
        </is>
      </c>
      <c r="H73" s="8" t="inlineStr"/>
      <c r="I73" s="4" t="inlineStr">
        <is>
          <t>P1</t>
        </is>
      </c>
      <c r="J73" s="6" t="inlineStr">
        <is>
          <t>Not run</t>
        </is>
      </c>
      <c r="K73" s="6" t="inlineStr"/>
    </row>
    <row r="74">
      <c r="A74" s="7" t="inlineStr">
        <is>
          <t>MKT-02</t>
        </is>
      </c>
      <c r="B74" s="4" t="inlineStr">
        <is>
          <t>Marketplace</t>
        </is>
      </c>
      <c r="C74" s="4" t="inlineStr">
        <is>
          <t>The listing hides the publisher's internals</t>
        </is>
      </c>
      <c r="D74" s="4" t="inlineStr">
        <is>
          <t>Company B user (riya@maven.example)</t>
        </is>
      </c>
      <c r="E74" s="4" t="inlineStr">
        <is>
          <t>MKT-01.</t>
        </is>
      </c>
      <c r="F74" s="4" t="inlineStr">
        <is>
          <t>1. Open the listing.</t>
        </is>
      </c>
      <c r="G74" s="4" t="inlineStr">
        <is>
          <t>"What it will need from you" shows Riya's own status per server. "What is not here" lists: builder identity, credentials, internal URLs, runs. No Northwind email, token or internal link anywhere.</t>
        </is>
      </c>
      <c r="H74" s="8" t="inlineStr"/>
      <c r="I74" s="4" t="inlineStr">
        <is>
          <t>P1</t>
        </is>
      </c>
      <c r="J74" s="6" t="inlineStr">
        <is>
          <t>Not run</t>
        </is>
      </c>
      <c r="K74" s="6" t="inlineStr"/>
    </row>
    <row r="75">
      <c r="A75" s="7" t="inlineStr">
        <is>
          <t>MKT-03</t>
        </is>
      </c>
      <c r="B75" s="4" t="inlineStr">
        <is>
          <t>Marketplace</t>
        </is>
      </c>
      <c r="C75" s="4" t="inlineStr">
        <is>
          <t>Install makes a private copy</t>
        </is>
      </c>
      <c r="D75" s="4" t="inlineStr">
        <is>
          <t>Company B user (riya@maven.example)</t>
        </is>
      </c>
      <c r="E75" s="4" t="inlineStr">
        <is>
          <t>MKT-01.</t>
        </is>
      </c>
      <c r="F75" s="4" t="inlineStr">
        <is>
          <t>1. Click "Add to my workspace".
2. Open My Agents → the new agent → "Connections" tab.</t>
        </is>
      </c>
      <c r="G75" s="4" t="inlineStr">
        <is>
          <t>The agent appears with an "installed" badge. The Connections tab says it was installed from the Marketplace and asks Riya to connect github and slack.</t>
        </is>
      </c>
      <c r="H75" s="8" t="inlineStr">
        <is>
          <t>SELECT name, installed_from FROM t_maven.agents;
SELECT installs FROM platform.listings;  -- +1
SELECT count(*) FROM t_maven.connections;  -- 0 until Riya connects</t>
        </is>
      </c>
      <c r="I75" s="4" t="inlineStr">
        <is>
          <t>P1</t>
        </is>
      </c>
      <c r="J75" s="6" t="inlineStr">
        <is>
          <t>Not run</t>
        </is>
      </c>
      <c r="K75" s="6" t="inlineStr"/>
    </row>
    <row r="76">
      <c r="A76" s="7" t="inlineStr">
        <is>
          <t>MKT-04</t>
        </is>
      </c>
      <c r="B76" s="4" t="inlineStr">
        <is>
          <t>Marketplace</t>
        </is>
      </c>
      <c r="C76" s="4" t="inlineStr">
        <is>
          <t>The installer must use their own accounts</t>
        </is>
      </c>
      <c r="D76" s="4" t="inlineStr">
        <is>
          <t>Company B user (riya@maven.example)</t>
        </is>
      </c>
      <c r="E76" s="4" t="inlineStr">
        <is>
          <t>MKT-03; Riya has not connected github/slack.</t>
        </is>
      </c>
      <c r="F76" s="4" t="inlineStr">
        <is>
          <t>1. Open the installed agent → Playground → send a request.</t>
        </is>
      </c>
      <c r="G76" s="4" t="inlineStr">
        <is>
          <t>"Before it runs · check connections" asks Riya to connect. Northwind's tokens are never used.</t>
        </is>
      </c>
      <c r="H76" s="8" t="inlineStr"/>
      <c r="I76" s="4" t="inlineStr">
        <is>
          <t>P1</t>
        </is>
      </c>
      <c r="J76" s="6" t="inlineStr">
        <is>
          <t>Not run</t>
        </is>
      </c>
      <c r="K76" s="6" t="inlineStr"/>
    </row>
    <row r="77">
      <c r="A77" s="7" t="inlineStr">
        <is>
          <t>MKT-05</t>
        </is>
      </c>
      <c r="B77" s="4" t="inlineStr">
        <is>
          <t>Marketplace</t>
        </is>
      </c>
      <c r="C77" s="4" t="inlineStr">
        <is>
          <t>Another company's agent URL is not found</t>
        </is>
      </c>
      <c r="D77" s="4" t="inlineStr">
        <is>
          <t>Company B user (riya@maven.example)</t>
        </is>
      </c>
      <c r="E77" s="4" t="inlineStr">
        <is>
          <t>You have a URL of one of Priya's agents.</t>
        </is>
      </c>
      <c r="F77" s="4" t="inlineStr">
        <is>
          <t>1. As Riya paste Priya's agent URL (/agents/&lt;id&gt;).</t>
        </is>
      </c>
      <c r="G77" s="4" t="inlineStr">
        <is>
          <t>"Not found." (a 404, not an access-denied that would confirm it exists).</t>
        </is>
      </c>
      <c r="H77" s="8" t="inlineStr"/>
      <c r="I77" s="4" t="inlineStr">
        <is>
          <t>P1</t>
        </is>
      </c>
      <c r="J77" s="6" t="inlineStr">
        <is>
          <t>Not run</t>
        </is>
      </c>
      <c r="K77" s="6" t="inlineStr"/>
    </row>
    <row r="78">
      <c r="A78" s="7" t="inlineStr">
        <is>
          <t>API-01</t>
        </is>
      </c>
      <c r="B78" s="4" t="inlineStr">
        <is>
          <t>API</t>
        </is>
      </c>
      <c r="C78" s="4" t="inlineStr">
        <is>
          <t>Mint an API token (shown once)</t>
        </is>
      </c>
      <c r="D78" s="4" t="inlineStr">
        <is>
          <t>Company A user (priya@northwind.example)</t>
        </is>
      </c>
      <c r="E78" s="4" t="inlineStr">
        <is>
          <t>An agent exists.</t>
        </is>
      </c>
      <c r="F78" s="4" t="inlineStr">
        <is>
          <t>1. Agent → "API" tab → "Mint a token".</t>
        </is>
      </c>
      <c r="G78" s="4" t="inlineStr">
        <is>
          <t>"Copy it now — it is shown once." The token starts with forge_. After reload, only its prefix is listed.</t>
        </is>
      </c>
      <c r="H78" s="8" t="inlineStr">
        <is>
          <t>SELECT prefix, left(token_hash,12) FROM platform.api_tokens;  -- a hash, never the token</t>
        </is>
      </c>
      <c r="I78" s="4" t="inlineStr">
        <is>
          <t>P1</t>
        </is>
      </c>
      <c r="J78" s="6" t="inlineStr">
        <is>
          <t>Not run</t>
        </is>
      </c>
      <c r="K78" s="6" t="inlineStr"/>
    </row>
    <row r="79">
      <c r="A79" s="7" t="inlineStr">
        <is>
          <t>API-02</t>
        </is>
      </c>
      <c r="B79" s="4" t="inlineStr">
        <is>
          <t>API</t>
        </is>
      </c>
      <c r="C79" s="4" t="inlineStr">
        <is>
          <t>Call the agent from PowerShell</t>
        </is>
      </c>
      <c r="D79" s="4" t="inlineStr">
        <is>
          <t>Company A user (priya@northwind.example)</t>
        </is>
      </c>
      <c r="E79" s="4" t="inlineStr">
        <is>
          <t>API-01 (token filled into the command).</t>
        </is>
      </c>
      <c r="F79" s="4" t="inlineStr">
        <is>
          <t>1. API tab → "PowerShell" → "Copy".
2. Paste into PowerShell and run.</t>
        </is>
      </c>
      <c r="G79" s="4" t="inlineStr">
        <is>
          <t>A JSON reply with the run's status (ok, or awaiting_approval for a write tool). The Runs tab shows Trigger "api".</t>
        </is>
      </c>
      <c r="H79" s="8" t="inlineStr"/>
      <c r="I79" s="4" t="inlineStr">
        <is>
          <t>P1</t>
        </is>
      </c>
      <c r="J79" s="6" t="inlineStr">
        <is>
          <t>Not run</t>
        </is>
      </c>
      <c r="K79" s="6" t="inlineStr"/>
    </row>
    <row r="80">
      <c r="A80" s="7" t="inlineStr">
        <is>
          <t>API-03</t>
        </is>
      </c>
      <c r="B80" s="4" t="inlineStr">
        <is>
          <t>API</t>
        </is>
      </c>
      <c r="C80" s="4" t="inlineStr">
        <is>
          <t>Postman collection</t>
        </is>
      </c>
      <c r="D80" s="4" t="inlineStr">
        <is>
          <t>Company A user (priya@northwind.example)</t>
        </is>
      </c>
      <c r="E80" s="4" t="inlineStr">
        <is>
          <t>Postman installed.</t>
        </is>
      </c>
      <c r="F80" s="4" t="inlineStr">
        <is>
          <t>1. API tab → "⤓ Download Postman collection".
2. Import it in Postman → open "Invoke" → Send.</t>
        </is>
      </c>
      <c r="G80" s="4" t="inlineStr">
        <is>
          <t>The request succeeds with the minted token already in the collection.</t>
        </is>
      </c>
      <c r="H80" s="8" t="inlineStr"/>
      <c r="I80" s="4" t="inlineStr">
        <is>
          <t>P2</t>
        </is>
      </c>
      <c r="J80" s="6" t="inlineStr">
        <is>
          <t>Not run</t>
        </is>
      </c>
      <c r="K80" s="6" t="inlineStr"/>
    </row>
    <row r="81">
      <c r="A81" s="7" t="inlineStr">
        <is>
          <t>API-04</t>
        </is>
      </c>
      <c r="B81" s="4" t="inlineStr">
        <is>
          <t>API</t>
        </is>
      </c>
      <c r="C81" s="4" t="inlineStr">
        <is>
          <t>A revoked token stops working</t>
        </is>
      </c>
      <c r="D81" s="4" t="inlineStr">
        <is>
          <t>Company A user (priya@northwind.example)</t>
        </is>
      </c>
      <c r="E81" s="4" t="inlineStr">
        <is>
          <t>API-02 passed.</t>
        </is>
      </c>
      <c r="F81" s="4" t="inlineStr">
        <is>
          <t>1. API tab → "Revoke" on the token.
2. Run the same PowerShell command again.</t>
        </is>
      </c>
      <c r="G81" s="4" t="inlineStr">
        <is>
          <t>The call is refused (401).</t>
        </is>
      </c>
      <c r="H81" s="8" t="inlineStr"/>
      <c r="I81" s="4" t="inlineStr">
        <is>
          <t>P2</t>
        </is>
      </c>
      <c r="J81" s="6" t="inlineStr">
        <is>
          <t>Not run</t>
        </is>
      </c>
      <c r="K81" s="6" t="inlineStr"/>
    </row>
    <row r="82">
      <c r="A82" s="7" t="inlineStr">
        <is>
          <t>API-05</t>
        </is>
      </c>
      <c r="B82" s="4" t="inlineStr">
        <is>
          <t>API</t>
        </is>
      </c>
      <c r="C82" s="4" t="inlineStr">
        <is>
          <t>Another company's agent via the API is not found</t>
        </is>
      </c>
      <c r="D82" s="4" t="inlineStr">
        <is>
          <t>Company B user (riya@maven.example)</t>
        </is>
      </c>
      <c r="E82" s="4" t="inlineStr">
        <is>
          <t>Riya has her own token; you have Priya's agent id.</t>
        </is>
      </c>
      <c r="F82" s="4" t="inlineStr">
        <is>
          <t>1. Call /v1/agents/&lt;Priya's agent id&gt;/invoke with Riya's token.</t>
        </is>
      </c>
      <c r="G82" s="4" t="inlineStr">
        <is>
          <t>404 Not found.</t>
        </is>
      </c>
      <c r="H82" s="8" t="inlineStr"/>
      <c r="I82" s="4" t="inlineStr">
        <is>
          <t>P2</t>
        </is>
      </c>
      <c r="J82" s="6" t="inlineStr">
        <is>
          <t>Not run</t>
        </is>
      </c>
      <c r="K82" s="6" t="inlineStr"/>
    </row>
    <row r="83">
      <c r="A83" s="7" t="inlineStr">
        <is>
          <t>SEC-01</t>
        </is>
      </c>
      <c r="B83" s="4" t="inlineStr">
        <is>
          <t>Security &amp; isolation</t>
        </is>
      </c>
      <c r="C83" s="4" t="inlineStr">
        <is>
          <t>A pasted token is stored nowhere in readable form</t>
        </is>
      </c>
      <c r="D83" s="4" t="inlineStr">
        <is>
          <t>pgAdmin</t>
        </is>
      </c>
      <c r="E83" s="4" t="inlineStr">
        <is>
          <t>CON-01 passed. Know SLACK_TOKEN.</t>
        </is>
      </c>
      <c r="F83" s="4" t="inlineStr">
        <is>
          <t>1. pgAdmin → Servers → forge (password forge) → Databases → forge → Tools → Query Tool.
2. Paste the SQL from the DB check column, replace &lt;PASTE TOKEN&gt; with SLACK_TOKEN, run it.
3. Open the "Messages" tab.</t>
        </is>
      </c>
      <c r="G83" s="4" t="inlineStr">
        <is>
          <t>No NOTICE lines: the token is found in no table in any schema.</t>
        </is>
      </c>
      <c r="H83" s="8" t="inlineStr">
        <is>
          <t>DO $$ DECLARE r record; n int; BEGIN
 FOR r IN SELECT table_schema s, table_name t FROM information_schema.tables
  WHERE table_type='BASE TABLE' AND table_schema NOT IN ('pg_catalog','information_schema') LOOP
  EXECUTE format('SELECT count(*) FROM %I.%I x WHERE x::text LIKE %L', r.s, r.t, '%&lt;PASTE TOKEN&gt;%') INTO n;
  IF n &gt; 0 THEN RAISE NOTICE '%.% : % rows', r.s, r.t, n; END IF;
 END LOOP; END $$;</t>
        </is>
      </c>
      <c r="I83" s="4" t="inlineStr">
        <is>
          <t>P1</t>
        </is>
      </c>
      <c r="J83" s="6" t="inlineStr">
        <is>
          <t>Not run</t>
        </is>
      </c>
      <c r="K83" s="6" t="inlineStr"/>
    </row>
    <row r="84">
      <c r="A84" s="7" t="inlineStr">
        <is>
          <t>SEC-02</t>
        </is>
      </c>
      <c r="B84" s="4" t="inlineStr">
        <is>
          <t>Security &amp; isolation</t>
        </is>
      </c>
      <c r="C84" s="4" t="inlineStr">
        <is>
          <t>One company cannot read another's data</t>
        </is>
      </c>
      <c r="D84" s="4" t="inlineStr">
        <is>
          <t>Terminal (psql)</t>
        </is>
      </c>
      <c r="E84" s="4" t="inlineStr">
        <is>
          <t>Companies Northwind Labs and Maven exist.</t>
        </is>
      </c>
      <c r="F84" s="4" t="inlineStr">
        <is>
          <t>1. Run: docker compose exec db psql -U forge_app -d forge
2. Run: SET ROLE t_northwind_labs;  SET search_path TO t_northwind_labs, platform;
3. Run: SELECT count(*) FROM t_maven.agents;</t>
        </is>
      </c>
      <c r="G84" s="4" t="inlineStr">
        <is>
          <t>"permission denied for schema t_maven".</t>
        </is>
      </c>
      <c r="H84" s="8" t="inlineStr"/>
      <c r="I84" s="4" t="inlineStr">
        <is>
          <t>P1</t>
        </is>
      </c>
      <c r="J84" s="6" t="inlineStr">
        <is>
          <t>Not run</t>
        </is>
      </c>
      <c r="K84" s="6" t="inlineStr"/>
    </row>
    <row r="85">
      <c r="A85" s="7" t="inlineStr">
        <is>
          <t>SEC-03</t>
        </is>
      </c>
      <c r="B85" s="4" t="inlineStr">
        <is>
          <t>Security &amp; isolation</t>
        </is>
      </c>
      <c r="C85" s="4" t="inlineStr">
        <is>
          <t>Rows are hidden until a person is named</t>
        </is>
      </c>
      <c r="D85" s="4" t="inlineStr">
        <is>
          <t>Terminal (psql)</t>
        </is>
      </c>
      <c r="E85" s="4" t="inlineStr">
        <is>
          <t>SEC-02 session open.</t>
        </is>
      </c>
      <c r="F85" s="4" t="inlineStr">
        <is>
          <t>1. Run: SELECT count(*) FROM agents;
2. Run: SELECT set_config('app.user_id',(SELECT id::text FROM platform.users WHERE email='priya@northwind.example'),false);
3. Run: SELECT name FROM agents;</t>
        </is>
      </c>
      <c r="G85" s="4" t="inlineStr">
        <is>
          <t>First count is 0 (fails closed). After naming Priya, only Priya's agents are listed.</t>
        </is>
      </c>
      <c r="H85" s="8" t="inlineStr"/>
      <c r="I85" s="4" t="inlineStr">
        <is>
          <t>P2</t>
        </is>
      </c>
      <c r="J85" s="6" t="inlineStr">
        <is>
          <t>Not run</t>
        </is>
      </c>
      <c r="K85" s="6" t="inlineStr"/>
    </row>
  </sheetData>
  <autoFilter ref="A1:K85"/>
  <conditionalFormatting sqref="J2:J8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J2:J85" showDropDown="0" showInputMessage="0" showErrorMessage="0" allowBlank="0" type="list">
      <formula1>"Pass,Fail,Blocked,Not run"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Area</t>
        </is>
      </c>
      <c r="B1" s="5" t="inlineStr">
        <is>
          <t>Cases</t>
        </is>
      </c>
      <c r="C1" s="5" t="inlineStr">
        <is>
          <t>P1</t>
        </is>
      </c>
      <c r="D1" s="5" t="inlineStr">
        <is>
          <t>Pass</t>
        </is>
      </c>
      <c r="E1" s="5" t="inlineStr">
        <is>
          <t>Fail</t>
        </is>
      </c>
      <c r="F1" s="5" t="inlineStr">
        <is>
          <t>Blocked</t>
        </is>
      </c>
      <c r="G1" s="5" t="inlineStr">
        <is>
          <t>Not run</t>
        </is>
      </c>
      <c r="H1" s="5" t="inlineStr">
        <is>
          <t>% passed</t>
        </is>
      </c>
    </row>
    <row r="2">
      <c r="A2" s="7" t="inlineStr">
        <is>
          <t>Accounts &amp; sign-in</t>
        </is>
      </c>
      <c r="B2" s="4">
        <f>COUNTIF('Test cases'!$B$2:$B$85,A2)</f>
        <v/>
      </c>
      <c r="C2" s="4">
        <f>COUNTIFS('Test cases'!$B$2:$B$85,A2,'Test cases'!$I$2:$I$85,"P1")</f>
        <v/>
      </c>
      <c r="D2" s="4">
        <f>COUNTIFS('Test cases'!$B$2:$B$85,$A2,'Test cases'!$J$2:$J$85,"Pass")</f>
        <v/>
      </c>
      <c r="E2" s="4">
        <f>COUNTIFS('Test cases'!$B$2:$B$85,$A2,'Test cases'!$J$2:$J$85,"Fail")</f>
        <v/>
      </c>
      <c r="F2" s="4">
        <f>COUNTIFS('Test cases'!$B$2:$B$85,$A2,'Test cases'!$J$2:$J$85,"Blocked")</f>
        <v/>
      </c>
      <c r="G2" s="4">
        <f>COUNTIFS('Test cases'!$B$2:$B$85,$A2,'Test cases'!$J$2:$J$85,"Not run")</f>
        <v/>
      </c>
      <c r="H2" s="9">
        <f>IFERROR(D2/B2,0)</f>
        <v/>
      </c>
    </row>
    <row r="3">
      <c r="A3" s="7" t="inlineStr">
        <is>
          <t>MCP Registry</t>
        </is>
      </c>
      <c r="B3" s="4">
        <f>COUNTIF('Test cases'!$B$2:$B$85,A3)</f>
        <v/>
      </c>
      <c r="C3" s="4">
        <f>COUNTIFS('Test cases'!$B$2:$B$85,A3,'Test cases'!$I$2:$I$85,"P1")</f>
        <v/>
      </c>
      <c r="D3" s="4">
        <f>COUNTIFS('Test cases'!$B$2:$B$85,$A3,'Test cases'!$J$2:$J$85,"Pass")</f>
        <v/>
      </c>
      <c r="E3" s="4">
        <f>COUNTIFS('Test cases'!$B$2:$B$85,$A3,'Test cases'!$J$2:$J$85,"Fail")</f>
        <v/>
      </c>
      <c r="F3" s="4">
        <f>COUNTIFS('Test cases'!$B$2:$B$85,$A3,'Test cases'!$J$2:$J$85,"Blocked")</f>
        <v/>
      </c>
      <c r="G3" s="4">
        <f>COUNTIFS('Test cases'!$B$2:$B$85,$A3,'Test cases'!$J$2:$J$85,"Not run")</f>
        <v/>
      </c>
      <c r="H3" s="9">
        <f>IFERROR(D3/B3,0)</f>
        <v/>
      </c>
    </row>
    <row r="4">
      <c r="A4" s="7" t="inlineStr">
        <is>
          <t>Connections</t>
        </is>
      </c>
      <c r="B4" s="4">
        <f>COUNTIF('Test cases'!$B$2:$B$85,A4)</f>
        <v/>
      </c>
      <c r="C4" s="4">
        <f>COUNTIFS('Test cases'!$B$2:$B$85,A4,'Test cases'!$I$2:$I$85,"P1")</f>
        <v/>
      </c>
      <c r="D4" s="4">
        <f>COUNTIFS('Test cases'!$B$2:$B$85,$A4,'Test cases'!$J$2:$J$85,"Pass")</f>
        <v/>
      </c>
      <c r="E4" s="4">
        <f>COUNTIFS('Test cases'!$B$2:$B$85,$A4,'Test cases'!$J$2:$J$85,"Fail")</f>
        <v/>
      </c>
      <c r="F4" s="4">
        <f>COUNTIFS('Test cases'!$B$2:$B$85,$A4,'Test cases'!$J$2:$J$85,"Blocked")</f>
        <v/>
      </c>
      <c r="G4" s="4">
        <f>COUNTIFS('Test cases'!$B$2:$B$85,$A4,'Test cases'!$J$2:$J$85,"Not run")</f>
        <v/>
      </c>
      <c r="H4" s="9">
        <f>IFERROR(D4/B4,0)</f>
        <v/>
      </c>
    </row>
    <row r="5">
      <c r="A5" s="7" t="inlineStr">
        <is>
          <t>Build</t>
        </is>
      </c>
      <c r="B5" s="4">
        <f>COUNTIF('Test cases'!$B$2:$B$85,A5)</f>
        <v/>
      </c>
      <c r="C5" s="4">
        <f>COUNTIFS('Test cases'!$B$2:$B$85,A5,'Test cases'!$I$2:$I$85,"P1")</f>
        <v/>
      </c>
      <c r="D5" s="4">
        <f>COUNTIFS('Test cases'!$B$2:$B$85,$A5,'Test cases'!$J$2:$J$85,"Pass")</f>
        <v/>
      </c>
      <c r="E5" s="4">
        <f>COUNTIFS('Test cases'!$B$2:$B$85,$A5,'Test cases'!$J$2:$J$85,"Fail")</f>
        <v/>
      </c>
      <c r="F5" s="4">
        <f>COUNTIFS('Test cases'!$B$2:$B$85,$A5,'Test cases'!$J$2:$J$85,"Blocked")</f>
        <v/>
      </c>
      <c r="G5" s="4">
        <f>COUNTIFS('Test cases'!$B$2:$B$85,$A5,'Test cases'!$J$2:$J$85,"Not run")</f>
        <v/>
      </c>
      <c r="H5" s="9">
        <f>IFERROR(D5/B5,0)</f>
        <v/>
      </c>
    </row>
    <row r="6">
      <c r="A6" s="7" t="inlineStr">
        <is>
          <t>Playground</t>
        </is>
      </c>
      <c r="B6" s="4">
        <f>COUNTIF('Test cases'!$B$2:$B$85,A6)</f>
        <v/>
      </c>
      <c r="C6" s="4">
        <f>COUNTIFS('Test cases'!$B$2:$B$85,A6,'Test cases'!$I$2:$I$85,"P1")</f>
        <v/>
      </c>
      <c r="D6" s="4">
        <f>COUNTIFS('Test cases'!$B$2:$B$85,$A6,'Test cases'!$J$2:$J$85,"Pass")</f>
        <v/>
      </c>
      <c r="E6" s="4">
        <f>COUNTIFS('Test cases'!$B$2:$B$85,$A6,'Test cases'!$J$2:$J$85,"Fail")</f>
        <v/>
      </c>
      <c r="F6" s="4">
        <f>COUNTIFS('Test cases'!$B$2:$B$85,$A6,'Test cases'!$J$2:$J$85,"Blocked")</f>
        <v/>
      </c>
      <c r="G6" s="4">
        <f>COUNTIFS('Test cases'!$B$2:$B$85,$A6,'Test cases'!$J$2:$J$85,"Not run")</f>
        <v/>
      </c>
      <c r="H6" s="9">
        <f>IFERROR(D6/B6,0)</f>
        <v/>
      </c>
    </row>
    <row r="7">
      <c r="A7" s="7" t="inlineStr">
        <is>
          <t>Agents</t>
        </is>
      </c>
      <c r="B7" s="4">
        <f>COUNTIF('Test cases'!$B$2:$B$85,A7)</f>
        <v/>
      </c>
      <c r="C7" s="4">
        <f>COUNTIFS('Test cases'!$B$2:$B$85,A7,'Test cases'!$I$2:$I$85,"P1")</f>
        <v/>
      </c>
      <c r="D7" s="4">
        <f>COUNTIFS('Test cases'!$B$2:$B$85,$A7,'Test cases'!$J$2:$J$85,"Pass")</f>
        <v/>
      </c>
      <c r="E7" s="4">
        <f>COUNTIFS('Test cases'!$B$2:$B$85,$A7,'Test cases'!$J$2:$J$85,"Fail")</f>
        <v/>
      </c>
      <c r="F7" s="4">
        <f>COUNTIFS('Test cases'!$B$2:$B$85,$A7,'Test cases'!$J$2:$J$85,"Blocked")</f>
        <v/>
      </c>
      <c r="G7" s="4">
        <f>COUNTIFS('Test cases'!$B$2:$B$85,$A7,'Test cases'!$J$2:$J$85,"Not run")</f>
        <v/>
      </c>
      <c r="H7" s="9">
        <f>IFERROR(D7/B7,0)</f>
        <v/>
      </c>
    </row>
    <row r="8">
      <c r="A8" s="7" t="inlineStr">
        <is>
          <t>Tool allow-list</t>
        </is>
      </c>
      <c r="B8" s="4">
        <f>COUNTIF('Test cases'!$B$2:$B$85,A8)</f>
        <v/>
      </c>
      <c r="C8" s="4">
        <f>COUNTIFS('Test cases'!$B$2:$B$85,A8,'Test cases'!$I$2:$I$85,"P1")</f>
        <v/>
      </c>
      <c r="D8" s="4">
        <f>COUNTIFS('Test cases'!$B$2:$B$85,$A8,'Test cases'!$J$2:$J$85,"Pass")</f>
        <v/>
      </c>
      <c r="E8" s="4">
        <f>COUNTIFS('Test cases'!$B$2:$B$85,$A8,'Test cases'!$J$2:$J$85,"Fail")</f>
        <v/>
      </c>
      <c r="F8" s="4">
        <f>COUNTIFS('Test cases'!$B$2:$B$85,$A8,'Test cases'!$J$2:$J$85,"Blocked")</f>
        <v/>
      </c>
      <c r="G8" s="4">
        <f>COUNTIFS('Test cases'!$B$2:$B$85,$A8,'Test cases'!$J$2:$J$85,"Not run")</f>
        <v/>
      </c>
      <c r="H8" s="9">
        <f>IFERROR(D8/B8,0)</f>
        <v/>
      </c>
    </row>
    <row r="9">
      <c r="A9" s="7" t="inlineStr">
        <is>
          <t>Publish &amp; review</t>
        </is>
      </c>
      <c r="B9" s="4">
        <f>COUNTIF('Test cases'!$B$2:$B$85,A9)</f>
        <v/>
      </c>
      <c r="C9" s="4">
        <f>COUNTIFS('Test cases'!$B$2:$B$85,A9,'Test cases'!$I$2:$I$85,"P1")</f>
        <v/>
      </c>
      <c r="D9" s="4">
        <f>COUNTIFS('Test cases'!$B$2:$B$85,$A9,'Test cases'!$J$2:$J$85,"Pass")</f>
        <v/>
      </c>
      <c r="E9" s="4">
        <f>COUNTIFS('Test cases'!$B$2:$B$85,$A9,'Test cases'!$J$2:$J$85,"Fail")</f>
        <v/>
      </c>
      <c r="F9" s="4">
        <f>COUNTIFS('Test cases'!$B$2:$B$85,$A9,'Test cases'!$J$2:$J$85,"Blocked")</f>
        <v/>
      </c>
      <c r="G9" s="4">
        <f>COUNTIFS('Test cases'!$B$2:$B$85,$A9,'Test cases'!$J$2:$J$85,"Not run")</f>
        <v/>
      </c>
      <c r="H9" s="9">
        <f>IFERROR(D9/B9,0)</f>
        <v/>
      </c>
    </row>
    <row r="10">
      <c r="A10" s="7" t="inlineStr">
        <is>
          <t>Marketplace</t>
        </is>
      </c>
      <c r="B10" s="4">
        <f>COUNTIF('Test cases'!$B$2:$B$85,A10)</f>
        <v/>
      </c>
      <c r="C10" s="4">
        <f>COUNTIFS('Test cases'!$B$2:$B$85,A10,'Test cases'!$I$2:$I$85,"P1")</f>
        <v/>
      </c>
      <c r="D10" s="4">
        <f>COUNTIFS('Test cases'!$B$2:$B$85,$A10,'Test cases'!$J$2:$J$85,"Pass")</f>
        <v/>
      </c>
      <c r="E10" s="4">
        <f>COUNTIFS('Test cases'!$B$2:$B$85,$A10,'Test cases'!$J$2:$J$85,"Fail")</f>
        <v/>
      </c>
      <c r="F10" s="4">
        <f>COUNTIFS('Test cases'!$B$2:$B$85,$A10,'Test cases'!$J$2:$J$85,"Blocked")</f>
        <v/>
      </c>
      <c r="G10" s="4">
        <f>COUNTIFS('Test cases'!$B$2:$B$85,$A10,'Test cases'!$J$2:$J$85,"Not run")</f>
        <v/>
      </c>
      <c r="H10" s="9">
        <f>IFERROR(D10/B10,0)</f>
        <v/>
      </c>
    </row>
    <row r="11">
      <c r="A11" s="7" t="inlineStr">
        <is>
          <t>API</t>
        </is>
      </c>
      <c r="B11" s="4">
        <f>COUNTIF('Test cases'!$B$2:$B$85,A11)</f>
        <v/>
      </c>
      <c r="C11" s="4">
        <f>COUNTIFS('Test cases'!$B$2:$B$85,A11,'Test cases'!$I$2:$I$85,"P1")</f>
        <v/>
      </c>
      <c r="D11" s="4">
        <f>COUNTIFS('Test cases'!$B$2:$B$85,$A11,'Test cases'!$J$2:$J$85,"Pass")</f>
        <v/>
      </c>
      <c r="E11" s="4">
        <f>COUNTIFS('Test cases'!$B$2:$B$85,$A11,'Test cases'!$J$2:$J$85,"Fail")</f>
        <v/>
      </c>
      <c r="F11" s="4">
        <f>COUNTIFS('Test cases'!$B$2:$B$85,$A11,'Test cases'!$J$2:$J$85,"Blocked")</f>
        <v/>
      </c>
      <c r="G11" s="4">
        <f>COUNTIFS('Test cases'!$B$2:$B$85,$A11,'Test cases'!$J$2:$J$85,"Not run")</f>
        <v/>
      </c>
      <c r="H11" s="9">
        <f>IFERROR(D11/B11,0)</f>
        <v/>
      </c>
    </row>
    <row r="12">
      <c r="A12" s="7" t="inlineStr">
        <is>
          <t>Security &amp; isolation</t>
        </is>
      </c>
      <c r="B12" s="4">
        <f>COUNTIF('Test cases'!$B$2:$B$85,A12)</f>
        <v/>
      </c>
      <c r="C12" s="4">
        <f>COUNTIFS('Test cases'!$B$2:$B$85,A12,'Test cases'!$I$2:$I$85,"P1")</f>
        <v/>
      </c>
      <c r="D12" s="4">
        <f>COUNTIFS('Test cases'!$B$2:$B$85,$A12,'Test cases'!$J$2:$J$85,"Pass")</f>
        <v/>
      </c>
      <c r="E12" s="4">
        <f>COUNTIFS('Test cases'!$B$2:$B$85,$A12,'Test cases'!$J$2:$J$85,"Fail")</f>
        <v/>
      </c>
      <c r="F12" s="4">
        <f>COUNTIFS('Test cases'!$B$2:$B$85,$A12,'Test cases'!$J$2:$J$85,"Blocked")</f>
        <v/>
      </c>
      <c r="G12" s="4">
        <f>COUNTIFS('Test cases'!$B$2:$B$85,$A12,'Test cases'!$J$2:$J$85,"Not run")</f>
        <v/>
      </c>
      <c r="H12" s="9">
        <f>IFERROR(D12/B12,0)</f>
        <v/>
      </c>
    </row>
    <row r="13">
      <c r="A13" s="7" t="inlineStr">
        <is>
          <t>Total</t>
        </is>
      </c>
      <c r="B13" s="7">
        <f>SUM(B2:B12)</f>
        <v/>
      </c>
      <c r="C13" s="7">
        <f>SUM(C2:C12)</f>
        <v/>
      </c>
      <c r="D13" s="7">
        <f>SUM(D2:D12)</f>
        <v/>
      </c>
      <c r="E13" s="7">
        <f>SUM(E2:E12)</f>
        <v/>
      </c>
      <c r="F13" s="7">
        <f>SUM(F2:F12)</f>
        <v/>
      </c>
      <c r="G13" s="7">
        <f>SUM(G2:G12)</f>
        <v/>
      </c>
      <c r="H13" s="10">
        <f>IFERROR(D13/B13,0)</f>
        <v/>
      </c>
    </row>
    <row r="14">
      <c r="A14" s="7" t="n"/>
      <c r="B14" s="4" t="n"/>
      <c r="C14" s="4" t="n"/>
      <c r="D14" s="4" t="n"/>
      <c r="E14" s="4" t="n"/>
      <c r="F14" s="4" t="n"/>
      <c r="G14" s="4" t="n"/>
      <c r="H14" s="4" t="n"/>
    </row>
    <row r="15">
      <c r="A15" s="7" t="inlineStr">
        <is>
          <t>P1 cases passed</t>
        </is>
      </c>
      <c r="B15" s="7">
        <f>COUNTIFS('Test cases'!$I$2:$I$85,"P1",'Test cases'!$J$2:$J$85,"Pass")</f>
        <v/>
      </c>
      <c r="C15" s="7">
        <f>COUNTIF('Test cases'!$I$2:$I$85,"P1")</f>
        <v/>
      </c>
      <c r="D15" s="10">
        <f>IFERROR(B15/C15,0)</f>
        <v/>
      </c>
      <c r="E15" s="7" t="n"/>
      <c r="F15" s="7" t="n"/>
      <c r="G15" s="7" t="n"/>
      <c r="H15" s="7" t="n"/>
    </row>
    <row r="16">
      <c r="A16" s="7" t="inlineStr">
        <is>
          <t>Ready to demo? (all P1 passed)</t>
        </is>
      </c>
      <c r="B16" s="7">
        <f>IF(B15=C15,"YES","NO")</f>
        <v/>
      </c>
      <c r="C16" s="7" t="n"/>
      <c r="D16" s="7" t="n"/>
      <c r="E16" s="7" t="n"/>
      <c r="F16" s="7" t="n"/>
      <c r="G16" s="7" t="n"/>
      <c r="H16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50" customWidth="1" min="3" max="3"/>
    <col width="44" customWidth="1" min="4" max="4"/>
    <col width="40" customWidth="1" min="5" max="5"/>
  </cols>
  <sheetData>
    <row r="1">
      <c r="A1" s="5" t="inlineStr">
        <is>
          <t>#</t>
        </is>
      </c>
      <c r="B1" s="5" t="inlineStr">
        <is>
          <t>Say (talk track)</t>
        </is>
      </c>
      <c r="C1" s="5" t="inlineStr">
        <is>
          <t>Click / type</t>
        </is>
      </c>
      <c r="D1" s="5" t="inlineStr">
        <is>
          <t>You should see</t>
        </is>
      </c>
      <c r="E1" s="5" t="inlineStr">
        <is>
          <t>If it goes wrong</t>
        </is>
      </c>
    </row>
    <row r="2">
      <c r="A2" s="7" t="inlineStr">
        <is>
          <t>Before</t>
        </is>
      </c>
      <c r="B2" s="4" t="inlineStr">
        <is>
          <t>—</t>
        </is>
      </c>
      <c r="C2" s="4" t="inlineStr">
        <is>
          <t>Day before: run every P1 case in BLD, PLY. Pre-build ONE backup agent (BLD-03) with an approved 👍 run. Use a paid or fresh Gemini key (free tier ≈ 20 AI calls/day). Record a clean run as a video.</t>
        </is>
      </c>
      <c r="D2" s="4" t="inlineStr">
        <is>
          <t>Summary sheet says "Ready to demo? YES".</t>
        </is>
      </c>
      <c r="E2" s="4" t="inlineStr">
        <is>
          <t>Fix or drop the failing step from the demo.</t>
        </is>
      </c>
    </row>
    <row r="3">
      <c r="A3" s="7" t="inlineStr">
        <is>
          <t>1</t>
        </is>
      </c>
      <c r="B3" s="4" t="inlineStr">
        <is>
          <t>"Here's Priya. She's not a developer. Her team uses GitHub and Slack."</t>
        </is>
      </c>
      <c r="C3" s="4" t="inlineStr">
        <is>
          <t>Signed in as priya@northwind.example. Show MCP Registry: github and slack cards, both "connected".</t>
        </is>
      </c>
      <c r="D3" s="4" t="inlineStr">
        <is>
          <t>Cards with read / write badges.</t>
        </is>
      </c>
      <c r="E3" s="4" t="inlineStr">
        <is>
          <t>If a card is "down", click "re-check".</t>
        </is>
      </c>
    </row>
    <row r="4">
      <c r="A4" s="7" t="inlineStr">
        <is>
          <t>2</t>
        </is>
      </c>
      <c r="B4" s="4" t="inlineStr">
        <is>
          <t>"She just says what she wants, in plain English."</t>
        </is>
      </c>
      <c r="C4" s="4" t="inlineStr">
        <is>
          <t>Build → type: Read the open issues in {GITHUB_REPO} and post a 3-line summary to Slack channel {SLACK_CHANNEL_ID} → Send.</t>
        </is>
      </c>
      <c r="D4" s="4" t="inlineStr">
        <is>
          <t>"Paused · waiting for you": a coordinator with two helpers, suggested tools.</t>
        </is>
      </c>
      <c r="E4" s="4" t="inlineStr">
        <is>
          <t>If it errors (AI quota), switch to the backup agent: My Agents → open it.</t>
        </is>
      </c>
    </row>
    <row r="5">
      <c r="A5" s="7" t="inlineStr">
        <is>
          <t>3</t>
        </is>
      </c>
      <c r="B5" s="4" t="inlineStr">
        <is>
          <t>"It picked only the tools it needs, and it's asking her to confirm."</t>
        </is>
      </c>
      <c r="C5" s="4" t="inlineStr">
        <is>
          <t>Click "Use these N".</t>
        </is>
      </c>
      <c r="D5" s="4" t="inlineStr">
        <is>
          <t>"Built and deployed." Approvals lists the Slack post tool.</t>
        </is>
      </c>
      <c r="E5" s="4" t="inlineStr">
        <is>
          <t>If "Paused · missing credential": paste the Slack token right there → "Connect slack" (a nice moment to show).</t>
        </is>
      </c>
    </row>
    <row r="6">
      <c r="A6" s="7" t="inlineStr">
        <is>
          <t>4</t>
        </is>
      </c>
      <c r="B6" s="4" t="inlineStr">
        <is>
          <t>"Now let's try it."</t>
        </is>
      </c>
      <c r="C6" s="4" t="inlineStr">
        <is>
          <t>"Open the Playground" → type: Summarise the open issues and post 3 lines to Slack channel {SLACK_CHANNEL_ID} → Send.</t>
        </is>
      </c>
      <c r="D6" s="4" t="inlineStr">
        <is>
          <t>Live lines: reading issues… then "a human will be asked first".</t>
        </is>
      </c>
      <c r="E6" s="4" t="inlineStr">
        <is>
          <t>If slow, narrate the live lines; it's reading real GitHub.</t>
        </is>
      </c>
    </row>
    <row r="7">
      <c r="A7" s="7" t="inlineStr">
        <is>
          <t>5</t>
        </is>
      </c>
      <c r="B7" s="4" t="inlineStr">
        <is>
          <t>"This is the important part. Before it changes anything, it stops and asks. The AI can't skip this."</t>
        </is>
      </c>
      <c r="C7" s="4" t="inlineStr">
        <is>
          <t>Point at "Waiting for approval": the exact message and channel.</t>
        </is>
      </c>
      <c r="D7" s="4" t="inlineStr">
        <is>
          <t>Approve / Reject card; "nothing runs until you click".</t>
        </is>
      </c>
      <c r="E7" s="4" t="inlineStr">
        <is>
          <t>If no card appears, show the backup agent's Runs tab.</t>
        </is>
      </c>
    </row>
    <row r="8">
      <c r="A8" s="7" t="inlineStr">
        <is>
          <t>6</t>
        </is>
      </c>
      <c r="B8" s="4" t="inlineStr">
        <is>
          <t>"She approves — and there it is."</t>
        </is>
      </c>
      <c r="C8" s="4" t="inlineStr">
        <is>
          <t>Click "Approve". Switch to Slack.</t>
        </is>
      </c>
      <c r="D8" s="4" t="inlineStr">
        <is>
          <t>The summary message in the channel.</t>
        </is>
      </c>
      <c r="E8" s="4" t="inlineStr">
        <is>
          <t>Show the recorded video.</t>
        </is>
      </c>
    </row>
    <row r="9">
      <c r="A9" s="7" t="inlineStr">
        <is>
          <t>7</t>
        </is>
      </c>
      <c r="B9" s="4" t="inlineStr">
        <is>
          <t>"She rates it, which builds a quality score. Good agents can be shared with other companies — scrubbed first."</t>
        </is>
      </c>
      <c r="C9" s="4" t="inlineStr">
        <is>
          <t>Click 👍. Settings → "show exactly what will leave".</t>
        </is>
      </c>
      <c r="D9" s="4" t="inlineStr">
        <is>
          <t>Listing JSON with [email removed] / "the publisher" placeholders.</t>
        </is>
      </c>
      <c r="E9" s="4" t="inlineStr">
        <is>
          <t>Skip if short on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2026-10-14T06:41:35Z</dcterms:created>
  <dcterms:modified xmlns:dcterms="http://purl.org/dc/terms/" xmlns:xsi="http://www.w3.org/2001/XMLSchema-instance" xsi:type="dcterms:W3CDTF">2026-10-14T06:41:35Z</dcterms:modified>
</cp:coreProperties>
</file>